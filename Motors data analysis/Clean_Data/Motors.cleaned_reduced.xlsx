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OR.DATA,SALE.SQL 2" sheetId="1" r:id="rId4"/>
    <sheet state="visible" name="Old_Cars_VS_New_Cars_Volume" sheetId="2" r:id="rId5"/>
    <sheet state="visible" name="Sheet3" sheetId="3" r:id="rId6"/>
    <sheet state="visible" name="Region_High_Volome" sheetId="4" r:id="rId7"/>
    <sheet state="visible" name="Relationship_Between_Total_Reve" sheetId="5" r:id="rId8"/>
    <sheet state="visible" name="MOST_REVENUE" sheetId="6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<sst xmlns="http://schemas.openxmlformats.org/spreadsheetml/2006/main" count="747" uniqueCount="329">
  <si>
    <t>YEAR</t>
  </si>
  <si>
    <t>MAKE</t>
  </si>
  <si>
    <t>MODEL</t>
  </si>
  <si>
    <t>TRIM</t>
  </si>
  <si>
    <t>BODY</t>
  </si>
  <si>
    <t>TRANSMISSION</t>
  </si>
  <si>
    <t>VIN</t>
  </si>
  <si>
    <t>STATE</t>
  </si>
  <si>
    <t>CONDITION</t>
  </si>
  <si>
    <t>ODOMETER</t>
  </si>
  <si>
    <t>MMR</t>
  </si>
  <si>
    <t>SELLINGPRICE</t>
  </si>
  <si>
    <t>SALEDATE</t>
  </si>
  <si>
    <t>TOTAL_REVENUE</t>
  </si>
  <si>
    <t xml:space="preserve"> </t>
  </si>
  <si>
    <t>Ford</t>
  </si>
  <si>
    <t>Econoline Cargo</t>
  </si>
  <si>
    <t>E-250</t>
  </si>
  <si>
    <t>Van</t>
  </si>
  <si>
    <t>automatic</t>
  </si>
  <si>
    <t>1ftns24l79da80208</t>
  </si>
  <si>
    <t>fl</t>
  </si>
  <si>
    <t>GMC</t>
  </si>
  <si>
    <t>Yukon XL</t>
  </si>
  <si>
    <t>SLT2 1500</t>
  </si>
  <si>
    <t>SUV</t>
  </si>
  <si>
    <t>1gkfk36369r218920</t>
  </si>
  <si>
    <t>tx</t>
  </si>
  <si>
    <t>Honda</t>
  </si>
  <si>
    <t>Civic</t>
  </si>
  <si>
    <t>LX</t>
  </si>
  <si>
    <t>Sedan</t>
  </si>
  <si>
    <t>2hgfa16599h365559</t>
  </si>
  <si>
    <t>Hyundai</t>
  </si>
  <si>
    <t>Sonata</t>
  </si>
  <si>
    <t>GLS</t>
  </si>
  <si>
    <t>5npet46c89h410499</t>
  </si>
  <si>
    <t>Land Rover</t>
  </si>
  <si>
    <t>LR2</t>
  </si>
  <si>
    <t>HSE</t>
  </si>
  <si>
    <t>salfr24n59h123060</t>
  </si>
  <si>
    <t>pa</t>
  </si>
  <si>
    <t>MINI</t>
  </si>
  <si>
    <t>Cooper</t>
  </si>
  <si>
    <t>S</t>
  </si>
  <si>
    <t>Hatchback</t>
  </si>
  <si>
    <t>wmwmf73509tw87585</t>
  </si>
  <si>
    <t>Mercedes-Benz</t>
  </si>
  <si>
    <t>S-Class</t>
  </si>
  <si>
    <t>S63 AMG</t>
  </si>
  <si>
    <t>wddng77x69a255729</t>
  </si>
  <si>
    <t>ca</t>
  </si>
  <si>
    <t>Nissan</t>
  </si>
  <si>
    <t>Rogue</t>
  </si>
  <si>
    <t>jn8as58v19w186206</t>
  </si>
  <si>
    <t>Suzuki</t>
  </si>
  <si>
    <t>SX4</t>
  </si>
  <si>
    <t>Crossover</t>
  </si>
  <si>
    <t>js2yb413496204703</t>
  </si>
  <si>
    <t>Toyota</t>
  </si>
  <si>
    <t>RAV4</t>
  </si>
  <si>
    <t>Base</t>
  </si>
  <si>
    <t>jtmzf33v59d003917</t>
  </si>
  <si>
    <t>ga</t>
  </si>
  <si>
    <t>Audi</t>
  </si>
  <si>
    <t>A4</t>
  </si>
  <si>
    <t>2.0T</t>
  </si>
  <si>
    <t>wauaf78e98a144483</t>
  </si>
  <si>
    <t>nv</t>
  </si>
  <si>
    <t>A6</t>
  </si>
  <si>
    <t>3.2 quattro</t>
  </si>
  <si>
    <t>waudh74f38n088913</t>
  </si>
  <si>
    <t>BMW</t>
  </si>
  <si>
    <t>7 Series</t>
  </si>
  <si>
    <t>750Li</t>
  </si>
  <si>
    <t>wbahn83588dt82337</t>
  </si>
  <si>
    <t>va</t>
  </si>
  <si>
    <t>Buick</t>
  </si>
  <si>
    <t>Enclave</t>
  </si>
  <si>
    <t>CXL</t>
  </si>
  <si>
    <t>5gaev23788j177432</t>
  </si>
  <si>
    <t>nj</t>
  </si>
  <si>
    <t>Chevrolet</t>
  </si>
  <si>
    <t>Avalanche</t>
  </si>
  <si>
    <t>LT</t>
  </si>
  <si>
    <t>Crew Cab</t>
  </si>
  <si>
    <t>3gnfk12318g160467</t>
  </si>
  <si>
    <t>Impala</t>
  </si>
  <si>
    <t>2g1wt58n289189887</t>
  </si>
  <si>
    <t>2g1wt58n281371829</t>
  </si>
  <si>
    <t>Chrysler</t>
  </si>
  <si>
    <t>Aspen</t>
  </si>
  <si>
    <t>Limited</t>
  </si>
  <si>
    <t>1a8hw58n68f134057</t>
  </si>
  <si>
    <t>nc</t>
  </si>
  <si>
    <t>Dodge</t>
  </si>
  <si>
    <t>Avenger</t>
  </si>
  <si>
    <t>SE</t>
  </si>
  <si>
    <t>1c3cdzab8en188061</t>
  </si>
  <si>
    <t>E-350 Super Duty</t>
  </si>
  <si>
    <t>1ftse34l68da19897</t>
  </si>
  <si>
    <t>F-150</t>
  </si>
  <si>
    <t>XLT</t>
  </si>
  <si>
    <t>SuperCrew</t>
  </si>
  <si>
    <t>1ftrw12wx8fa83474</t>
  </si>
  <si>
    <t>F-250 Super Duty</t>
  </si>
  <si>
    <t>1ftsw21r48eb47680</t>
  </si>
  <si>
    <t>Sierra 1500</t>
  </si>
  <si>
    <t>Work Truck</t>
  </si>
  <si>
    <t>Regular Cab</t>
  </si>
  <si>
    <t>1gtec14x08z264093</t>
  </si>
  <si>
    <t>Accord</t>
  </si>
  <si>
    <t>EX-L V-6</t>
  </si>
  <si>
    <t>1hgcp36808a064473</t>
  </si>
  <si>
    <t>sc</t>
  </si>
  <si>
    <t>Veracruz</t>
  </si>
  <si>
    <t>km8nu13c88u042390</t>
  </si>
  <si>
    <t>Jeep</t>
  </si>
  <si>
    <t>Wrangler</t>
  </si>
  <si>
    <t>Unlimited X</t>
  </si>
  <si>
    <t>1j4gb39178l595374</t>
  </si>
  <si>
    <t>Lexus</t>
  </si>
  <si>
    <t>IS 250</t>
  </si>
  <si>
    <t>jthck262882026534</t>
  </si>
  <si>
    <t>Charger</t>
  </si>
  <si>
    <t>SXT</t>
  </si>
  <si>
    <t>2c3cdxjg5eh259595</t>
  </si>
  <si>
    <t>ab</t>
  </si>
  <si>
    <t>Lincoln</t>
  </si>
  <si>
    <t>MKZ</t>
  </si>
  <si>
    <t>3lnhm26t38r627898</t>
  </si>
  <si>
    <t>wi</t>
  </si>
  <si>
    <t>E-Class</t>
  </si>
  <si>
    <t>E350 4MATIC</t>
  </si>
  <si>
    <t>wdbuf87x08b251391</t>
  </si>
  <si>
    <t>M-Class</t>
  </si>
  <si>
    <t>ML350</t>
  </si>
  <si>
    <t>4jgbb86e38a332844</t>
  </si>
  <si>
    <t>Armada</t>
  </si>
  <si>
    <t>5n1aa08d78n600615</t>
  </si>
  <si>
    <t>Porsche</t>
  </si>
  <si>
    <t>Cayenne</t>
  </si>
  <si>
    <t>GTS</t>
  </si>
  <si>
    <t>manual</t>
  </si>
  <si>
    <t>wp1ad29p48la73384</t>
  </si>
  <si>
    <t>Saturn</t>
  </si>
  <si>
    <t>Aura</t>
  </si>
  <si>
    <t>XE</t>
  </si>
  <si>
    <t>1g8zs57n98f149736</t>
  </si>
  <si>
    <t>Avalon</t>
  </si>
  <si>
    <t>XLS</t>
  </si>
  <si>
    <t>4t1bk36bx8u273735</t>
  </si>
  <si>
    <t>Volvo</t>
  </si>
  <si>
    <t>S80</t>
  </si>
  <si>
    <t>yv1as982581069288</t>
  </si>
  <si>
    <t>3 Series</t>
  </si>
  <si>
    <t>335i</t>
  </si>
  <si>
    <t>Coupe</t>
  </si>
  <si>
    <t>wbawb73557p033661</t>
  </si>
  <si>
    <t>Durango</t>
  </si>
  <si>
    <t>1c4rdhdg3ec537629</t>
  </si>
  <si>
    <t>5 Series</t>
  </si>
  <si>
    <t>550i</t>
  </si>
  <si>
    <t>wbanb53527cp07594</t>
  </si>
  <si>
    <t>Cadillac</t>
  </si>
  <si>
    <t>Escalade ESV</t>
  </si>
  <si>
    <t>1gyfk66857r238382</t>
  </si>
  <si>
    <t>mo</t>
  </si>
  <si>
    <t>Express Cargo</t>
  </si>
  <si>
    <t>1gcfg15x671103834</t>
  </si>
  <si>
    <t>2g1wc58r579258203</t>
  </si>
  <si>
    <t>2g1wt58n979332011</t>
  </si>
  <si>
    <t>az</t>
  </si>
  <si>
    <t>PT Cruiser</t>
  </si>
  <si>
    <t>Touring</t>
  </si>
  <si>
    <t>Convertible</t>
  </si>
  <si>
    <t>3c3jy55ex7t608575</t>
  </si>
  <si>
    <t>mn</t>
  </si>
  <si>
    <t>Caliber</t>
  </si>
  <si>
    <t>Wagon</t>
  </si>
  <si>
    <t>1b3jb48bx7d504166</t>
  </si>
  <si>
    <t>in</t>
  </si>
  <si>
    <t>Edge</t>
  </si>
  <si>
    <t>2fmdk36c37bb08972</t>
  </si>
  <si>
    <t>XL</t>
  </si>
  <si>
    <t>SuperCab</t>
  </si>
  <si>
    <t>1ftpx14547fa72901</t>
  </si>
  <si>
    <t>Grand Caravan</t>
  </si>
  <si>
    <t>Minivan</t>
  </si>
  <si>
    <t>2c4rdgcgxer253420</t>
  </si>
  <si>
    <t>Acadia</t>
  </si>
  <si>
    <t>SLT-1</t>
  </si>
  <si>
    <t>1gkev23737j161138</t>
  </si>
  <si>
    <t>Ranger</t>
  </si>
  <si>
    <t>1ftyr14u47pa62983</t>
  </si>
  <si>
    <t>Denali</t>
  </si>
  <si>
    <t>1gkfk66887j389483</t>
  </si>
  <si>
    <t>CR-V</t>
  </si>
  <si>
    <t>jhlre38337c023423</t>
  </si>
  <si>
    <t>EX-L</t>
  </si>
  <si>
    <t>5j6re48757l004453</t>
  </si>
  <si>
    <t>Santa Fe</t>
  </si>
  <si>
    <t>5nmsh13e77h022022</t>
  </si>
  <si>
    <t>Kia</t>
  </si>
  <si>
    <t>Sorento</t>
  </si>
  <si>
    <t>kndjc736975688226</t>
  </si>
  <si>
    <t>Mazda</t>
  </si>
  <si>
    <t>CX-9</t>
  </si>
  <si>
    <t>Grand Touring</t>
  </si>
  <si>
    <t>jm3tb38c170100844</t>
  </si>
  <si>
    <t>wdbuf87x77x216543</t>
  </si>
  <si>
    <t>Altima</t>
  </si>
  <si>
    <t>2.5 S</t>
  </si>
  <si>
    <t>1n4al21e77c178214</t>
  </si>
  <si>
    <t>Maxima</t>
  </si>
  <si>
    <t>3.5 SE</t>
  </si>
  <si>
    <t>1n4ba41e07c829432</t>
  </si>
  <si>
    <t>ION</t>
  </si>
  <si>
    <t>1g8aj55f37z194213</t>
  </si>
  <si>
    <t>mi</t>
  </si>
  <si>
    <t>Camry</t>
  </si>
  <si>
    <t>LE</t>
  </si>
  <si>
    <t>4t1be46k77u561028</t>
  </si>
  <si>
    <t>Volkswagen</t>
  </si>
  <si>
    <t>Jetta</t>
  </si>
  <si>
    <t>Base PZEV</t>
  </si>
  <si>
    <t>3vwhg71k17m019345</t>
  </si>
  <si>
    <t>325i</t>
  </si>
  <si>
    <t>wbavb13576kx49806</t>
  </si>
  <si>
    <t>330xi</t>
  </si>
  <si>
    <t>wbavd33526kv67873</t>
  </si>
  <si>
    <t>wbahn83506dt25675</t>
  </si>
  <si>
    <t>DTS</t>
  </si>
  <si>
    <t>Luxury III</t>
  </si>
  <si>
    <t>1g6kd57y76u118315</t>
  </si>
  <si>
    <t>Silverado 2500HD</t>
  </si>
  <si>
    <t>Extended Cab</t>
  </si>
  <si>
    <t>1gchk29ux6e260271</t>
  </si>
  <si>
    <t>2c4rdgcg7er172987</t>
  </si>
  <si>
    <t>Journey</t>
  </si>
  <si>
    <t>3c4pdcbbxet181007</t>
  </si>
  <si>
    <t>2c3la53gx6h530842</t>
  </si>
  <si>
    <t>1d8hb58276f120613</t>
  </si>
  <si>
    <t>Expedition</t>
  </si>
  <si>
    <t>1fmpu16546la60703</t>
  </si>
  <si>
    <t>1ftrw12w06kc39218</t>
  </si>
  <si>
    <t>1ftpf12v76nb67009</t>
  </si>
  <si>
    <t>Lariat</t>
  </si>
  <si>
    <t>1ftsw21p06ec08552</t>
  </si>
  <si>
    <t>Special Edition</t>
  </si>
  <si>
    <t>shsrd78936u432138</t>
  </si>
  <si>
    <t>5npeu46fx6h056066</t>
  </si>
  <si>
    <t>Liberty</t>
  </si>
  <si>
    <t>Sport</t>
  </si>
  <si>
    <t>1j4gl48k16w287741</t>
  </si>
  <si>
    <t>FIAT</t>
  </si>
  <si>
    <t>500L</t>
  </si>
  <si>
    <t>Easy</t>
  </si>
  <si>
    <t>zfbcfabh9ez023903</t>
  </si>
  <si>
    <t>Sedona</t>
  </si>
  <si>
    <t>EX</t>
  </si>
  <si>
    <t>kndmb233966063228</t>
  </si>
  <si>
    <t>RX 400h</t>
  </si>
  <si>
    <t>jtjhw31u260002276</t>
  </si>
  <si>
    <t>mazda</t>
  </si>
  <si>
    <t>tribute</t>
  </si>
  <si>
    <t>4wd s</t>
  </si>
  <si>
    <t>4f2yz96146km30088</t>
  </si>
  <si>
    <t>ut</t>
  </si>
  <si>
    <t>Mercury</t>
  </si>
  <si>
    <t>Montego</t>
  </si>
  <si>
    <t>Premier</t>
  </si>
  <si>
    <t>1mehm43186g611718</t>
  </si>
  <si>
    <t>Quest</t>
  </si>
  <si>
    <t>5n1bv28u56n127587</t>
  </si>
  <si>
    <t>Subaru</t>
  </si>
  <si>
    <t>Legacy</t>
  </si>
  <si>
    <t>2.5i Special Edition</t>
  </si>
  <si>
    <t>4s3bl626466215648</t>
  </si>
  <si>
    <t>New Beetle</t>
  </si>
  <si>
    <t>3vwrf31y86m300609</t>
  </si>
  <si>
    <t>3.0 quattro</t>
  </si>
  <si>
    <t>wault68e25a022068</t>
  </si>
  <si>
    <t>Escalade</t>
  </si>
  <si>
    <t>1gyek63n35r174183</t>
  </si>
  <si>
    <t>1gchc29u95e139081</t>
  </si>
  <si>
    <t>Equinox</t>
  </si>
  <si>
    <t>2cndl63f556104179</t>
  </si>
  <si>
    <t>Neon</t>
  </si>
  <si>
    <t>1b3es56c75d185339</t>
  </si>
  <si>
    <t>1fmfu15535la58162</t>
  </si>
  <si>
    <t>FX4</t>
  </si>
  <si>
    <t>1ftpw14555kd60188</t>
  </si>
  <si>
    <t>Mustang</t>
  </si>
  <si>
    <t>Premium</t>
  </si>
  <si>
    <t>1zvft80n155237244</t>
  </si>
  <si>
    <t>2gtek63nx51124640</t>
  </si>
  <si>
    <t>Elantra</t>
  </si>
  <si>
    <t>GT</t>
  </si>
  <si>
    <t>kmhdn56d85u137399</t>
  </si>
  <si>
    <t>1j4gl58k85w566530</t>
  </si>
  <si>
    <t>Navigator</t>
  </si>
  <si>
    <t>Ultimate</t>
  </si>
  <si>
    <t>5lmfu27575lj08710</t>
  </si>
  <si>
    <t>Mitsubishi</t>
  </si>
  <si>
    <t>Endeavor</t>
  </si>
  <si>
    <t>LS</t>
  </si>
  <si>
    <t>4a4mm21s75e010030</t>
  </si>
  <si>
    <t>3.5 SL</t>
  </si>
  <si>
    <t>1n4ba41e15c803709</t>
  </si>
  <si>
    <t>AVERAGE of ODOMETER</t>
  </si>
  <si>
    <t>Grand Total</t>
  </si>
  <si>
    <t>INSIGHTS</t>
  </si>
  <si>
    <t xml:space="preserve"> Cars manufactured after 2015 show significantly show lower avarage mileage And those cars have high demand.</t>
  </si>
  <si>
    <t>Customer show a cler preference when it comes to new cars.</t>
  </si>
  <si>
    <t>Conclusion – Bright Motors Analysis</t>
  </si>
  <si>
    <t>High-revenue brands: Dodge, Mercedes-Benz, Ford, Porsche.</t>
  </si>
  <si>
    <t>Customers strongly prefer newer, low-mileage vehicles.</t>
  </si>
  <si>
    <t>High-volume regions include CA, FL, VA, PA, and NC.</t>
  </si>
  <si>
    <t>Older, high-mileage cars sell slowly and at lower prices.</t>
  </si>
  <si>
    <t>Focus on stocking high-demand brands, newer cars, and shifting inventory to strong regions.</t>
  </si>
  <si>
    <t>Conclusion – Bright Motors Analysis
High-revenue brands: Dodge, Mercedes-Benz, Ford, Porsche.
Customers strongly prefer newer, low-mileage vehicles.
High-volume regions include CA, FL, VA, PA, and NC.
Older, high-mileage cars sell slowly and at lower prices.
Focus on stocking high-demand brands, newer cars, and shifting inventory to strong regions.</t>
  </si>
  <si>
    <t>SUM of TOTAL_REVENUE</t>
  </si>
  <si>
    <t>COUNT of SALEDATE</t>
  </si>
  <si>
    <t>``</t>
  </si>
  <si>
    <t>Insights from graphs</t>
  </si>
  <si>
    <t>Dodge is genarating the most revenue.</t>
  </si>
  <si>
    <t>Mercedes is the second revenue generator.</t>
  </si>
  <si>
    <t>Ford is our third revenue generator.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</si>
</sst>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 mmm dd yyyy h:mm:ss"/>
    <numFmt numFmtId="165" formatCode="ddd mmm d yyyy h:mm:ss"/>
    <numFmt numFmtId="166" formatCode="[$R]#,##0.00"/>
    <numFmt numFmtId="167" formatCode="&quot;$&quot;#,##0.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rgb="FFB45F06"/>
      <name val="Arial"/>
      <scheme val="minor"/>
    </font>
    <font>
      <b/>
      <color rgb="FFFF00FF"/>
      <name val="Arial"/>
      <scheme val="minor"/>
    </font>
    <font>
      <b/>
      <color rgb="FF0000FF"/>
      <name val="Arial"/>
      <scheme val="minor"/>
    </font>
    <font>
      <color rgb="FF274E13"/>
      <name val="Arial"/>
      <scheme val="minor"/>
    </font>
    <font>
      <sz val="11.0"/>
      <color theme="1"/>
      <name val="Arial"/>
      <scheme val="minor"/>
    </font>
    <font>
      <sz val="31.0"/>
      <color theme="1"/>
      <name val="Arial"/>
      <scheme val="minor"/>
    </font>
    <font>
      <sz val="16.0"/>
      <color theme="1"/>
      <name val="Arial"/>
      <scheme val="minor"/>
    </font>
    <font>
      <color rgb="FF980000"/>
      <name val="Arial"/>
      <scheme val="minor"/>
    </font>
    <font>
      <b/>
      <i/>
      <color rgb="FF0000FF"/>
      <name val="Arial"/>
      <scheme val="minor"/>
    </font>
    <font>
      <b/>
      <color rgb="FF4C113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1" numFmtId="166" xfId="0" applyFont="1" applyNumberForma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1" numFmtId="4" xfId="0" applyFont="1" applyNumberFormat="1"/>
    <xf borderId="0" fillId="0" fontId="1" numFmtId="167" xfId="0" applyFont="1" applyNumberFormat="1"/>
    <xf borderId="0" fillId="0" fontId="1" numFmtId="10" xfId="0" applyFont="1" applyNumberFormat="1"/>
    <xf borderId="0" fillId="0" fontId="9" numFmtId="0" xfId="0" applyFont="1"/>
    <xf borderId="0" fillId="0" fontId="4" numFmtId="0" xfId="0" applyAlignment="1" applyFont="1">
      <alignment horizontal="left" readingOrder="0"/>
    </xf>
    <xf borderId="0" fillId="0" fontId="10" numFmtId="166" xfId="0" applyAlignment="1" applyFont="1" applyNumberFormat="1">
      <alignment horizontal="left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readingOrder="0"/>
    </xf>
    <xf borderId="0" fillId="0" fontId="1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980000"/>
                </a:solidFill>
                <a:latin typeface="+mn-lt"/>
              </a:defRPr>
            </a:pPr>
            <a:r>
              <a:rPr b="1" sz="2000">
                <a:solidFill>
                  <a:srgbClr val="980000"/>
                </a:solidFill>
                <a:latin typeface="+mn-lt"/>
              </a:rPr>
              <a:t>AVERAGE MILEAGE BY YEAR OF MANUFACTURE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Old_Cars_VS_New_Cars_Volume!$B$1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Old_Cars_VS_New_Cars_Volume!$A$2:$A$8</c:f>
            </c:strRef>
          </c:cat>
          <c:val>
            <c:numRef>
              <c:f>Old_Cars_VS_New_Cars_Volume!$B$2:$B$8</c:f>
              <c:numCache/>
            </c:numRef>
          </c:val>
          <c:smooth val="0"/>
        </c:ser>
        <c:axId val="847857318"/>
        <c:axId val="35725525"/>
      </c:lineChart>
      <c:catAx>
        <c:axId val="847857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25525"/>
      </c:catAx>
      <c:valAx>
        <c:axId val="35725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ODOMETER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8573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980000"/>
                </a:solidFill>
                <a:latin typeface="Arial black"/>
              </a:defRPr>
            </a:pPr>
            <a:r>
              <a:rPr b="0" sz="1800">
                <a:solidFill>
                  <a:srgbClr val="980000"/>
                </a:solidFill>
                <a:latin typeface="Arial black"/>
              </a:rPr>
              <a:t>SUM of TOTAL_REVENUE vs. STATE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Region_High_Volome!$B$1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Region_High_Volome!$B$2:$B$10</c:f>
            </c:strRef>
          </c:cat>
          <c:val>
            <c:numRef>
              <c:f>Region_High_Volome!$B$2:$B$10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9900FF"/>
              </a:solidFill>
              <a:latin typeface="Arial black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FF0000"/>
                </a:solidFill>
                <a:latin typeface="Arial black"/>
              </a:defRPr>
            </a:pPr>
            <a:r>
              <a:rPr b="1" sz="1800">
                <a:solidFill>
                  <a:srgbClr val="FF0000"/>
                </a:solidFill>
                <a:latin typeface="Arial black"/>
              </a:rPr>
              <a:t>Region_With_Most_Revenue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Region_High_Volome!$B$1</c:f>
            </c:strRef>
          </c:tx>
          <c:spPr>
            <a:solidFill>
              <a:schemeClr val="accent1"/>
            </a:solidFill>
            <a:ln cmpd="sng">
              <a:solidFill>
                <a:srgbClr val="000000">
                  <a:alpha val="0"/>
                </a:srgbClr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i="1">
                      <a:solidFill>
                        <a:srgbClr val="FF6D01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1952807652703203"/>
                  <c:y val="0.028865789845849327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i="1">
                      <a:solidFill>
                        <a:srgbClr val="FF6D01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FF6D01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FF6D01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FF6D01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FF6D01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FF6D01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FF6D01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FF6D01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Region_High_Volome!$A$2:$A$10</c:f>
            </c:strRef>
          </c:cat>
          <c:val>
            <c:numRef>
              <c:f>Region_High_Volome!$B$2:$B$10</c:f>
              <c:numCache/>
            </c:numRef>
          </c:val>
        </c:ser>
        <c:axId val="1767438672"/>
        <c:axId val="1750865331"/>
      </c:bar3DChart>
      <c:catAx>
        <c:axId val="1767438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A61C00"/>
                    </a:solidFill>
                    <a:latin typeface="+mn-lt"/>
                  </a:defRPr>
                </a:pPr>
                <a:r>
                  <a:rPr b="1">
                    <a:solidFill>
                      <a:srgbClr val="A61C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865331"/>
      </c:catAx>
      <c:valAx>
        <c:axId val="1750865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A61C00"/>
                    </a:solidFill>
                    <a:latin typeface="+mn-lt"/>
                  </a:defRPr>
                </a:pPr>
                <a:r>
                  <a:rPr b="1">
                    <a:solidFill>
                      <a:srgbClr val="A61C00"/>
                    </a:solidFill>
                    <a:latin typeface="+mn-lt"/>
                  </a:rPr>
                  <a:t>SUM of TOTAL_REVENUE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4386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990000"/>
                </a:solidFill>
                <a:latin typeface="sans-serif"/>
              </a:defRPr>
            </a:pPr>
            <a:r>
              <a:rPr b="1" sz="1800">
                <a:solidFill>
                  <a:srgbClr val="990000"/>
                </a:solidFill>
                <a:latin typeface="sans-serif"/>
              </a:rPr>
              <a:t>RELATIONSHIP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Relationship_Between_Total_Reve!$B$1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5"/>
          </c:dPt>
          <c:dLbls>
            <c:dLbl>
              <c:idx val="1"/>
              <c:layout>
                <c:manualLayout>
                  <c:xMode val="edge"/>
                  <c:yMode val="edge"/>
                  <c:x val="0.18786614195011356"/>
                  <c:y val="0.49512460013799164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Mode val="edge"/>
                  <c:yMode val="edge"/>
                  <c:x val="0.892143929217716"/>
                  <c:y val="0.5172050429655649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sz="1000">
                    <a:latin typeface="Georgi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Relationship_Between_Total_Reve!$A$2:$A$7</c:f>
            </c:strRef>
          </c:cat>
          <c:val>
            <c:numRef>
              <c:f>Relationship_Between_Total_Reve!$B$2:$B$7</c:f>
              <c:numCache/>
            </c:numRef>
          </c:val>
        </c:ser>
        <c:axId val="1261108772"/>
        <c:axId val="654439281"/>
      </c:barChart>
      <c:lineChart>
        <c:varyColors val="0"/>
        <c:ser>
          <c:idx val="1"/>
          <c:order val="1"/>
          <c:tx>
            <c:strRef>
              <c:f>Relationship_Between_Total_Reve!$C$1</c:f>
            </c:strRef>
          </c:tx>
          <c:spPr>
            <a:ln cmpd="sng">
              <a:solidFill>
                <a:srgbClr val="EA4335">
                  <a:alpha val="100000"/>
                </a:srgbClr>
              </a:solidFill>
            </a:ln>
          </c:spPr>
          <c:marker>
            <c:symbol val="circle"/>
            <c:size val="14"/>
            <c:spPr>
              <a:solidFill>
                <a:srgbClr val="EA4335">
                  <a:alpha val="100000"/>
                </a:srgbClr>
              </a:solidFill>
              <a:ln cmpd="sng">
                <a:solidFill>
                  <a:srgbClr val="EA4335">
                    <a:alpha val="100000"/>
                  </a:srgbClr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Lbls>
            <c:dLbl>
              <c:idx val="0"/>
              <c:layout>
                <c:manualLayout>
                  <c:xMode val="edge"/>
                  <c:yMode val="edge"/>
                  <c:x val="0.04343812050355643"/>
                  <c:y val="0.7336641927043664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21014128250231456"/>
                  <c:y val="0.6720680285122895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sz="1000">
                    <a:latin typeface="Georgi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Relationship_Between_Total_Reve!$A$2:$A$7</c:f>
            </c:strRef>
          </c:cat>
          <c:val>
            <c:numRef>
              <c:f>Relationship_Between_Total_Reve!$C$2:$C$7</c:f>
              <c:numCache/>
            </c:numRef>
          </c:val>
          <c:smooth val="0"/>
        </c:ser>
        <c:axId val="1261108772"/>
        <c:axId val="654439281"/>
      </c:lineChart>
      <c:catAx>
        <c:axId val="1261108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439281"/>
      </c:catAx>
      <c:valAx>
        <c:axId val="6544392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1108772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Relationship_Between_Total_Reve!$B$1</c:f>
            </c:strRef>
          </c:tx>
          <c:spPr>
            <a:solidFill>
              <a:schemeClr val="accent1"/>
            </a:solidFill>
            <a:ln cmpd="sng">
              <a:solidFill>
                <a:srgbClr val="4A86E8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Relationship_Between_Total_Reve!$B$2:$B$7</c:f>
            </c:strRef>
          </c:cat>
          <c:val>
            <c:numRef>
              <c:f>Relationship_Between_Total_Reve!$B$2:$B$7</c:f>
              <c:numCache/>
            </c:numRef>
          </c:val>
        </c:ser>
        <c:ser>
          <c:idx val="1"/>
          <c:order val="1"/>
          <c:tx>
            <c:strRef>
              <c:f>Relationship_Between_Total_Reve!$C$1</c:f>
            </c:strRef>
          </c:tx>
          <c:spPr>
            <a:solidFill>
              <a:schemeClr val="accent2"/>
            </a:solidFill>
            <a:ln cmpd="sng">
              <a:solidFill>
                <a:srgbClr val="4A86E8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Relationship_Between_Total_Reve!$B$2:$B$7</c:f>
            </c:strRef>
          </c:cat>
          <c:val>
            <c:numRef>
              <c:f>Relationship_Between_Total_Reve!$C$2:$C$7</c:f>
              <c:numCache/>
            </c:numRef>
          </c:val>
        </c:ser>
        <c:axId val="722675377"/>
        <c:axId val="923078534"/>
      </c:barChart>
      <c:catAx>
        <c:axId val="7226753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3078534"/>
      </c:catAx>
      <c:valAx>
        <c:axId val="9230785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675377"/>
        <c:crosses val="max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chemeClr val="accent1"/>
                </a:solidFill>
                <a:latin typeface="Arial black"/>
              </a:defRPr>
            </a:pPr>
            <a:r>
              <a:rPr b="1" sz="2000">
                <a:solidFill>
                  <a:schemeClr val="accent1"/>
                </a:solidFill>
                <a:latin typeface="Arial black"/>
              </a:rPr>
              <a:t>MOST_REVENUE_BY_MAKE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MOST_REVENUE!$B$1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MOST_REVENUE!$A$2:$A$10</c:f>
            </c:strRef>
          </c:cat>
          <c:val>
            <c:numRef>
              <c:f>MOST_REVENUE!$B$2:$B$10</c:f>
              <c:numCache/>
            </c:numRef>
          </c:val>
        </c:ser>
        <c:axId val="1065903038"/>
        <c:axId val="1156619160"/>
      </c:barChart>
      <c:catAx>
        <c:axId val="1065903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6619160"/>
      </c:catAx>
      <c:valAx>
        <c:axId val="1156619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9030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serif"/>
              </a:defRPr>
            </a:pPr>
            <a:r>
              <a:rPr b="1">
                <a:solidFill>
                  <a:schemeClr val="accent1"/>
                </a:solidFill>
                <a:latin typeface="serif"/>
              </a:rPr>
              <a:t>MOST_REVENUE_BY_PERCENTAGE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MOST_REVENUE!$B$1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explosion val="0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MOST_REVENUE!$A$2:$A$10</c:f>
            </c:strRef>
          </c:cat>
          <c:val>
            <c:numRef>
              <c:f>MOST_REVENUE!$B$2:$B$10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114300</xdr:rowOff>
    </xdr:from>
    <xdr:ext cx="9725025" cy="6019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57150</xdr:rowOff>
    </xdr:from>
    <xdr:ext cx="9753600" cy="6038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581025</xdr:colOff>
      <xdr:row>12</xdr:row>
      <xdr:rowOff>123825</xdr:rowOff>
    </xdr:from>
    <xdr:ext cx="9648825" cy="59721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28575</xdr:rowOff>
    </xdr:from>
    <xdr:ext cx="5829300" cy="3609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29</xdr:row>
      <xdr:rowOff>66675</xdr:rowOff>
    </xdr:from>
    <xdr:ext cx="5829300" cy="3609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28575</xdr:rowOff>
    </xdr:from>
    <xdr:ext cx="4305300" cy="26384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12</xdr:row>
      <xdr:rowOff>28575</xdr:rowOff>
    </xdr:from>
    <xdr:ext cx="4257675" cy="26384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MOTOR.DATA,SALE.SQL 2"/>
  </cacheSource>
  <cacheFields>
    <cacheField name="YEAR" numFmtId="0">
      <sharedItems containsString="0" containsBlank="1" containsNumber="1" containsInteger="1">
        <n v="2009.0"/>
        <n v="2008.0"/>
        <n v="2014.0"/>
        <n v="2007.0"/>
        <n v="2006.0"/>
        <n v="2005.0"/>
        <m/>
      </sharedItems>
    </cacheField>
    <cacheField name="MAKE" numFmtId="0">
      <sharedItems containsBlank="1">
        <s v="Ford"/>
        <s v="GMC"/>
        <s v="Honda"/>
        <s v="Hyundai"/>
        <s v="Land Rover"/>
        <s v="MINI"/>
        <s v="Mercedes-Benz"/>
        <s v="Nissan"/>
        <s v="Suzuki"/>
        <s v="Toyota"/>
        <s v="Audi"/>
        <s v="BMW"/>
        <s v="Buick"/>
        <s v="Chevrolet"/>
        <s v="Chrysler"/>
        <s v="Dodge"/>
        <s v="Jeep"/>
        <s v="Lexus"/>
        <s v="Lincoln"/>
        <s v="Porsche"/>
        <s v="Saturn"/>
        <s v="Volvo"/>
        <s v="Cadillac"/>
        <s v="Kia"/>
        <s v="Mazda"/>
        <s v="Volkswagen"/>
        <s v="FIAT"/>
        <s v="Mercury"/>
        <s v="Subaru"/>
        <s v="Mitsubishi"/>
        <m/>
      </sharedItems>
    </cacheField>
    <cacheField name="MODEL">
      <sharedItems containsBlank="1" containsMixedTypes="1" containsNumber="1" containsInteger="1">
        <s v="Econoline Cargo"/>
        <s v="Yukon XL"/>
        <s v="Civic"/>
        <s v="Sonata"/>
        <s v="LR2"/>
        <s v="Cooper"/>
        <s v="S-Class"/>
        <s v="Rogue"/>
        <s v="SX4"/>
        <s v="RAV4"/>
        <s v="A4"/>
        <s v="A6"/>
        <s v="7 Series"/>
        <s v="Enclave"/>
        <s v="Avalanche"/>
        <s v="Impala"/>
        <s v="Aspen"/>
        <s v="Avenger"/>
        <s v="F-150"/>
        <s v="F-250 Super Duty"/>
        <s v="Sierra 1500"/>
        <s v="Accord"/>
        <s v="Veracruz"/>
        <s v="Wrangler"/>
        <s v="IS 250"/>
        <s v="Charger"/>
        <s v="MKZ"/>
        <s v="E-Class"/>
        <s v="M-Class"/>
        <s v="Armada"/>
        <s v="Cayenne"/>
        <s v="Aura"/>
        <s v="Avalon"/>
        <s v="S80"/>
        <s v="3 Series"/>
        <s v="Durango"/>
        <s v="5 Series"/>
        <s v="Escalade ESV"/>
        <s v="Express Cargo"/>
        <s v="PT Cruiser"/>
        <s v="Caliber"/>
        <s v="Edge"/>
        <s v="Grand Caravan"/>
        <s v="Acadia"/>
        <s v="Ranger"/>
        <s v="CR-V"/>
        <s v="Santa Fe"/>
        <s v="Sorento"/>
        <s v="CX-9"/>
        <s v="Altima"/>
        <s v="Maxima"/>
        <s v="ION"/>
        <s v="Camry"/>
        <s v="Jetta"/>
        <s v="DTS"/>
        <s v="Silverado 2500HD"/>
        <s v="Journey"/>
        <n v="300.0"/>
        <s v="Expedition"/>
        <s v="Liberty"/>
        <s v="500L"/>
        <s v="Sedona"/>
        <s v="RX 400h"/>
        <s v="tribute"/>
        <s v="Montego"/>
        <s v="Quest"/>
        <s v="Legacy"/>
        <s v="New Beetle"/>
        <s v="Escalade"/>
        <s v="Equinox"/>
        <s v="Neon"/>
        <s v="Mustang"/>
        <s v="Elantra"/>
        <s v="Navigator"/>
        <s v="Endeavor"/>
        <m/>
      </sharedItems>
    </cacheField>
    <cacheField name="TRIM">
      <sharedItems containsBlank="1" containsMixedTypes="1" containsNumber="1">
        <s v="E-250"/>
        <s v="SLT2 1500"/>
        <s v="LX"/>
        <s v="GLS"/>
        <s v="HSE"/>
        <s v="S"/>
        <s v="S63 AMG"/>
        <s v="Crossover"/>
        <s v="Base"/>
        <s v="2.0T"/>
        <s v="3.2 quattro"/>
        <s v="750Li"/>
        <s v="CXL"/>
        <s v="LT"/>
        <s v="Limited"/>
        <s v="SE"/>
        <s v="E-350 Super Duty"/>
        <s v="XLT"/>
        <s v="Work Truck"/>
        <s v="EX-L V-6"/>
        <s v="Unlimited X"/>
        <s v="SXT"/>
        <s v="E350 4MATIC"/>
        <s v="ML350"/>
        <s v="GTS"/>
        <s v="XE"/>
        <s v="XLS"/>
        <n v="3.2"/>
        <s v="335i"/>
        <s v="550i"/>
        <n v="1500.0"/>
        <s v="Touring"/>
        <s v="XL"/>
        <s v="SLT-1"/>
        <s v="Denali"/>
        <s v="EX-L"/>
        <s v="Grand Touring"/>
        <s v="2.5 S"/>
        <s v="3.5 SE"/>
        <n v="2.0"/>
        <s v="LE"/>
        <s v="Base PZEV"/>
        <s v="325i"/>
        <s v="330xi"/>
        <s v="Luxury III"/>
        <s v="Lariat"/>
        <s v="Special Edition"/>
        <s v="Sport"/>
        <s v="Easy"/>
        <s v="EX"/>
        <s v="4wd s"/>
        <s v="Premier"/>
        <s v="2.5i Special Edition"/>
        <n v="2.5"/>
        <s v="3.0 quattro"/>
        <s v="FX4"/>
        <s v="Premium"/>
        <s v="GT"/>
        <s v="Ultimate"/>
        <s v="LS"/>
        <s v="3.5 SL"/>
        <m/>
      </sharedItems>
    </cacheField>
    <cacheField name="BODY" numFmtId="0">
      <sharedItems containsBlank="1">
        <s v="Van"/>
        <s v="SUV"/>
        <s v="Sedan"/>
        <s v="Hatchback"/>
        <s v="Crew Cab"/>
        <s v="SuperCrew"/>
        <s v="Regular Cab"/>
        <s v="Coupe"/>
        <s v="Convertible"/>
        <s v="Wagon"/>
        <s v="SuperCab"/>
        <s v="Minivan"/>
        <s v="Extended Cab"/>
        <m/>
      </sharedItems>
    </cacheField>
    <cacheField name="TRANSMISSION" numFmtId="0">
      <sharedItems containsBlank="1">
        <s v="automatic"/>
        <m/>
        <s v="manual"/>
      </sharedItems>
    </cacheField>
    <cacheField name="VIN" numFmtId="0">
      <sharedItems containsBlank="1">
        <s v="1ftns24l79da80208"/>
        <s v="1gkfk36369r218920"/>
        <s v="2hgfa16599h365559"/>
        <s v="5npet46c89h410499"/>
        <s v="salfr24n59h123060"/>
        <s v="wmwmf73509tw87585"/>
        <s v="wddng77x69a255729"/>
        <s v="jn8as58v19w186206"/>
        <s v="js2yb413496204703"/>
        <s v="jtmzf33v59d003917"/>
        <s v="wauaf78e98a144483"/>
        <s v="waudh74f38n088913"/>
        <s v="wbahn83588dt82337"/>
        <s v="5gaev23788j177432"/>
        <s v="3gnfk12318g160467"/>
        <s v="2g1wt58n289189887"/>
        <s v="2g1wt58n281371829"/>
        <s v="1a8hw58n68f134057"/>
        <s v="1c3cdzab8en188061"/>
        <s v="1ftse34l68da19897"/>
        <s v="1ftrw12wx8fa83474"/>
        <s v="1ftsw21r48eb47680"/>
        <s v="1gtec14x08z264093"/>
        <s v="1hgcp36808a064473"/>
        <s v="km8nu13c88u042390"/>
        <s v="1j4gb39178l595374"/>
        <s v="jthck262882026534"/>
        <s v="2c3cdxjg5eh259595"/>
        <s v="3lnhm26t38r627898"/>
        <s v="wdbuf87x08b251391"/>
        <s v="4jgbb86e38a332844"/>
        <s v="5n1aa08d78n600615"/>
        <s v="wp1ad29p48la73384"/>
        <s v="1g8zs57n98f149736"/>
        <s v="4t1bk36bx8u273735"/>
        <s v="yv1as982581069288"/>
        <s v="wbawb73557p033661"/>
        <s v="1c4rdhdg3ec537629"/>
        <s v="wbanb53527cp07594"/>
        <s v="1gyfk66857r238382"/>
        <s v="1gcfg15x671103834"/>
        <s v="2g1wc58r579258203"/>
        <s v="2g1wt58n979332011"/>
        <s v="3c3jy55ex7t608575"/>
        <s v="1b3jb48bx7d504166"/>
        <s v="2fmdk36c37bb08972"/>
        <s v="1ftpx14547fa72901"/>
        <s v="2c4rdgcgxer253420"/>
        <s v="1gkev23737j161138"/>
        <s v="1ftyr14u47pa62983"/>
        <s v="1gkfk66887j389483"/>
        <s v="jhlre38337c023423"/>
        <s v="5j6re48757l004453"/>
        <s v="5nmsh13e77h022022"/>
        <s v="kndjc736975688226"/>
        <s v="jm3tb38c170100844"/>
        <s v="wdbuf87x77x216543"/>
        <s v="1n4al21e77c178214"/>
        <s v="1n4ba41e07c829432"/>
        <s v="1g8aj55f37z194213"/>
        <s v="4t1be46k77u561028"/>
        <s v="3vwhg71k17m019345"/>
        <s v="wbavb13576kx49806"/>
        <s v="wbavd33526kv67873"/>
        <s v="wbahn83506dt25675"/>
        <s v="1g6kd57y76u118315"/>
        <s v="1gchk29ux6e260271"/>
        <s v="2c4rdgcg7er172987"/>
        <s v="3c4pdcbbxet181007"/>
        <s v="2c3la53gx6h530842"/>
        <s v="1d8hb58276f120613"/>
        <s v="1fmpu16546la60703"/>
        <s v="1ftrw12w06kc39218"/>
        <s v="1ftpf12v76nb67009"/>
        <s v="1ftsw21p06ec08552"/>
        <s v="shsrd78936u432138"/>
        <s v="5npeu46fx6h056066"/>
        <s v="1j4gl48k16w287741"/>
        <s v="zfbcfabh9ez023903"/>
        <s v="kndmb233966063228"/>
        <s v="jtjhw31u260002276"/>
        <s v="4f2yz96146km30088"/>
        <s v="1mehm43186g611718"/>
        <s v="5n1bv28u56n127587"/>
        <s v="4s3bl626466215648"/>
        <s v="3vwrf31y86m300609"/>
        <s v="wault68e25a022068"/>
        <s v="1gyek63n35r174183"/>
        <s v="1gchc29u95e139081"/>
        <s v="2cndl63f556104179"/>
        <s v="1b3es56c75d185339"/>
        <s v="1fmfu15535la58162"/>
        <s v="1ftpw14555kd60188"/>
        <s v="1zvft80n155237244"/>
        <s v="2gtek63nx51124640"/>
        <s v="kmhdn56d85u137399"/>
        <s v="1j4gl58k85w566530"/>
        <s v="5lmfu27575lj08710"/>
        <s v="4a4mm21s75e010030"/>
        <s v="1n4ba41e15c803709"/>
        <m/>
      </sharedItems>
    </cacheField>
    <cacheField name="STATE" numFmtId="0">
      <sharedItems containsBlank="1">
        <s v="fl"/>
        <s v="tx"/>
        <s v="pa"/>
        <s v="ca"/>
        <s v="ga"/>
        <s v="nv"/>
        <s v="va"/>
        <s v="nj"/>
        <s v="nc"/>
        <s v="sc"/>
        <s v="ab"/>
        <s v="wi"/>
        <s v="mo"/>
        <s v="az"/>
        <s v="mn"/>
        <s v="in"/>
        <s v="mi"/>
        <s v="ut"/>
        <m/>
      </sharedItems>
    </cacheField>
    <cacheField name="CONDITION" numFmtId="0">
      <sharedItems containsString="0" containsBlank="1" containsNumber="1" containsInteger="1">
        <n v="23.0"/>
        <n v="33.0"/>
        <n v="34.0"/>
        <n v="35.0"/>
        <n v="47.0"/>
        <n v="43.0"/>
        <n v="26.0"/>
        <n v="44.0"/>
        <n v="37.0"/>
        <n v="31.0"/>
        <n v="28.0"/>
        <n v="38.0"/>
        <n v="39.0"/>
        <n v="19.0"/>
        <n v="36.0"/>
        <n v="27.0"/>
        <n v="21.0"/>
        <n v="29.0"/>
        <n v="3.0"/>
        <n v="32.0"/>
        <n v="4.0"/>
        <n v="46.0"/>
        <n v="5.0"/>
        <n v="1.0"/>
        <n v="24.0"/>
        <n v="18.0"/>
        <n v="25.0"/>
        <n v="41.0"/>
        <n v="22.0"/>
        <n v="2.0"/>
        <m/>
      </sharedItems>
    </cacheField>
    <cacheField name="ODOMETER" numFmtId="0">
      <sharedItems containsString="0" containsBlank="1" containsNumber="1" containsInteger="1">
        <n v="94380.0"/>
        <n v="100008.0"/>
        <n v="66062.0"/>
        <n v="144507.0"/>
        <n v="27166.0"/>
        <n v="49407.0"/>
        <n v="85162.0"/>
        <n v="112354.0"/>
        <n v="56498.0"/>
        <n v="99912.0"/>
        <n v="73164.0"/>
        <n v="74394.0"/>
        <n v="115181.0"/>
        <n v="94872.0"/>
        <n v="81834.0"/>
        <n v="76535.0"/>
        <n v="104239.0"/>
        <n v="159883.0"/>
        <n v="16651.0"/>
        <n v="153944.0"/>
        <n v="96381.0"/>
        <n v="115189.0"/>
        <n v="88987.0"/>
        <n v="85453.0"/>
        <n v="93072.0"/>
        <n v="59082.0"/>
        <n v="80676.0"/>
        <n v="9915.0"/>
        <n v="136320.0"/>
        <n v="88359.0"/>
        <n v="99994.0"/>
        <n v="85430.0"/>
        <n v="35645.0"/>
        <n v="83352.0"/>
        <n v="32748.0"/>
        <n v="90954.0"/>
        <n v="75830.0"/>
        <n v="14402.0"/>
        <n v="75207.0"/>
        <n v="121456.0"/>
        <n v="184348.0"/>
        <n v="207728.0"/>
        <n v="117844.0"/>
        <n v="83124.0"/>
        <n v="93738.0"/>
        <n v="99034.0"/>
        <n v="152878.0"/>
        <n v="19982.0"/>
        <n v="71094.0"/>
        <n v="162222.0"/>
        <n v="112311.0"/>
        <n v="75863.0"/>
        <n v="75297.0"/>
        <n v="94181.0"/>
        <n v="77634.0"/>
        <n v="81073.0"/>
        <n v="36430.0"/>
        <n v="57211.0"/>
        <n v="147124.0"/>
        <n v="117311.0"/>
        <n v="110248.0"/>
        <n v="113357.0"/>
        <n v="128912.0"/>
        <n v="91503.0"/>
        <n v="121363.0"/>
        <n v="102086.0"/>
        <n v="151425.0"/>
        <n v="40519.0"/>
        <n v="18969.0"/>
        <n v="76596.0"/>
        <n v="146750.0"/>
        <n v="112668.0"/>
        <n v="122854.0"/>
        <n v="27754.0"/>
        <n v="146806.0"/>
        <n v="86881.0"/>
        <n v="92548.0"/>
        <n v="96811.0"/>
        <n v="2529.0"/>
        <n v="104814.0"/>
        <n v="123540.0"/>
        <n v="145006.0"/>
        <n v="112115.0"/>
        <n v="135209.0"/>
        <n v="104902.0"/>
        <n v="119942.0"/>
        <n v="122926.0"/>
        <n v="114846.0"/>
        <n v="86936.0"/>
        <n v="158855.0"/>
        <n v="86819.0"/>
        <n v="92333.0"/>
        <n v="115622.0"/>
        <n v="83287.0"/>
        <n v="138790.0"/>
        <n v="138928.0"/>
        <n v="59115.0"/>
        <n v="161171.0"/>
        <n v="100580.0"/>
        <n v="148398.0"/>
        <m/>
      </sharedItems>
    </cacheField>
    <cacheField name="MMR" numFmtId="0">
      <sharedItems containsString="0" containsBlank="1" containsNumber="1" containsInteger="1">
        <n v="11200.0"/>
        <n v="18500.0"/>
        <n v="7750.0"/>
        <n v="3425.0"/>
        <n v="16550.0"/>
        <n v="9650.0"/>
        <n v="29000.0"/>
        <n v="7250.0"/>
        <n v="5425.0"/>
        <n v="9300.0"/>
        <n v="9050.0"/>
        <n v="13200.0"/>
        <n v="12550.0"/>
        <n v="12100.0"/>
        <n v="17700.0"/>
        <n v="6025.0"/>
        <n v="5125.0"/>
        <n v="4475.0"/>
        <n v="11850.0"/>
        <n v="4775.0"/>
        <n v="11750.0"/>
        <n v="19150.0"/>
        <n v="7900.0"/>
        <n v="9950.0"/>
        <n v="9275.0"/>
        <n v="14400.0"/>
        <n v="13000.0"/>
        <n v="24500.0"/>
        <n v="4800.0"/>
        <n v="11950.0"/>
        <n v="12700.0"/>
        <n v="29100.0"/>
        <n v="5075.0"/>
        <n v="12350.0"/>
        <n v="7600.0"/>
        <n v="11400.0"/>
        <n v="28800.0"/>
        <n v="10800.0"/>
        <n v="16700.0"/>
        <n v="4725.0"/>
        <n v="1475.0"/>
        <n v="4225.0"/>
        <n v="3350.0"/>
        <n v="3775.0"/>
        <n v="7200.0"/>
        <n v="6175.0"/>
        <n v="16900.0"/>
        <n v="3750.0"/>
        <n v="15400.0"/>
        <n v="8925.0"/>
        <n v="11300.0"/>
        <n v="6900.0"/>
        <n v="5725.0"/>
        <n v="7850.0"/>
        <n v="12150.0"/>
        <n v="7225.0"/>
        <n v="4275.0"/>
        <n v="2525.0"/>
        <n v="6925.0"/>
        <n v="3725.0"/>
        <n v="8425.0"/>
        <n v="5600.0"/>
        <n v="6650.0"/>
        <n v="15850.0"/>
        <n v="7700.0"/>
        <n v="4325.0"/>
        <n v="8250.0"/>
        <n v="7925.0"/>
        <n v="13800.0"/>
        <n v="8975.0"/>
        <n v="4550.0"/>
        <n v="13100.0"/>
        <n v="3475.0"/>
        <n v="10050.0"/>
        <n v="2925.0"/>
        <n v="3450.0"/>
        <n v="2750.0"/>
        <n v="5875.0"/>
        <n v="3250.0"/>
        <n v="5175.0"/>
        <n v="9175.0"/>
        <n v="3275.0"/>
        <n v="2475.0"/>
        <n v="2125.0"/>
        <n v="3875.0"/>
        <n v="10500.0"/>
        <n v="5650.0"/>
        <n v="10650.0"/>
        <n v="1825.0"/>
        <n v="7400.0"/>
        <n v="4100.0"/>
        <n v="3200.0"/>
        <m/>
      </sharedItems>
    </cacheField>
    <cacheField name="SELLINGPRICE" numFmtId="0">
      <sharedItems containsString="0" containsBlank="1" containsNumber="1" containsInteger="1">
        <n v="9600.0"/>
        <n v="17500.0"/>
        <n v="8000.0"/>
        <n v="4900.0"/>
        <n v="17250.0"/>
        <n v="10600.0"/>
        <n v="29000.0"/>
        <n v="6600.0"/>
        <n v="7100.0"/>
        <n v="9900.0"/>
        <n v="12400.0"/>
        <n v="11500.0"/>
        <n v="12900.0"/>
        <n v="22000.0"/>
        <n v="6700.0"/>
        <n v="3600.0"/>
        <n v="11700.0"/>
        <n v="5700.0"/>
        <n v="19900.0"/>
        <n v="9100.0"/>
        <n v="9400.0"/>
        <n v="15500.0"/>
        <n v="11200.0"/>
        <n v="26200.0"/>
        <n v="4200.0"/>
        <n v="13200.0"/>
        <n v="11800.0"/>
        <n v="11600.0"/>
        <n v="36000.0"/>
        <n v="5000.0"/>
        <n v="8700.0"/>
        <n v="11300.0"/>
        <n v="28300.0"/>
        <n v="10500.0"/>
        <n v="18700.0"/>
        <n v="3000.0"/>
        <n v="2400.0"/>
        <n v="4100.0"/>
        <n v="2200.0"/>
        <n v="1300.0"/>
        <n v="9000.0"/>
        <n v="7000.0"/>
        <n v="12800.0"/>
        <n v="3900.0"/>
        <n v="11400.0"/>
        <n v="8100.0"/>
        <n v="9500.0"/>
        <n v="4400.0"/>
        <n v="5900.0"/>
        <n v="15800.0"/>
        <n v="4800.0"/>
        <n v="1700.0"/>
        <n v="2600.0"/>
        <n v="9300.0"/>
        <n v="8500.0"/>
        <n v="2000.0"/>
        <n v="2100.0"/>
        <n v="16300.0"/>
        <n v="15400.0"/>
        <n v="2300.0"/>
        <n v="3700.0"/>
        <n v="8300.0"/>
        <n v="15000.0"/>
        <n v="7600.0"/>
        <n v="4600.0"/>
        <n v="5300.0"/>
        <n v="11000.0"/>
        <n v="1450.0"/>
        <n v="1900.0"/>
        <n v="6000.0"/>
        <n v="7700.0"/>
        <n v="2150.0"/>
        <n v="3750.0"/>
        <n v="12600.0"/>
        <n v="7500.0"/>
        <n v="10250.0"/>
        <n v="2500.0"/>
        <m/>
      </sharedItems>
    </cacheField>
    <cacheField name="SALEDATE" numFmtId="164">
      <sharedItems containsDate="1" containsString="0" containsBlank="1">
        <d v="2015-02-06T02:15:00Z"/>
        <d v="2015-01-14T02:20:00Z"/>
        <d v="2015-01-16T01:15:00Z"/>
        <d v="2015-01-20T08:00:00Z"/>
        <d v="2015-01-16T01:00:00Z"/>
        <d v="2015-01-14T04:30:00Z"/>
        <d v="2015-01-15T02:00:00Z"/>
        <d v="2015-01-16T04:00:00Z"/>
        <d v="2015-01-15T01:05:00Z"/>
        <d v="2015-01-28T01:30:00Z"/>
        <d v="2015-01-15T03:30:00Z"/>
        <d v="2015-01-15T03:45:00Z"/>
        <d v="2015-02-11T01:30:00Z"/>
        <d v="2015-01-19T01:00:00Z"/>
        <d v="2015-01-20T01:30:00Z"/>
        <d v="2015-01-14T01:30:00Z"/>
        <d v="2015-01-15T03:00:00Z"/>
        <d v="2015-01-14T02:15:00Z"/>
        <d v="2015-01-15T01:20:00Z"/>
        <d v="2015-01-15T02:15:00Z"/>
        <d v="2015-01-14T02:00:00Z"/>
        <d v="2015-01-15T04:00:00Z"/>
        <d v="2015-01-14T06:30:00Z"/>
        <d v="2015-01-14T04:45:00Z"/>
        <d v="2015-01-19T04:30:00Z"/>
        <d v="2015-01-15T04:30:00Z"/>
        <d v="2015-01-14T02:30:00Z"/>
        <d v="2015-01-16T01:25:00Z"/>
        <d v="2015-01-26T01:00:00Z"/>
        <d v="2015-01-19T01:30:00Z"/>
        <d v="2015-01-15T01:50:00Z"/>
        <d v="2015-02-06T01:00:00Z"/>
        <d v="2015-01-15T01:30:00Z"/>
        <d v="2015-02-04T04:15:00Z"/>
        <d v="2015-02-26T04:30:00Z"/>
        <d v="2015-01-14T04:00:00Z"/>
        <d v="2015-01-14T01:00:00Z"/>
        <d v="2015-01-23T02:00:00Z"/>
        <d v="2015-01-16T01:30:00Z"/>
        <d v="2015-01-14T07:10:00Z"/>
        <d v="2015-01-15T01:35:00Z"/>
        <d v="2015-01-14T03:30:00Z"/>
        <d v="2015-01-22T03:30:00Z"/>
        <d v="2015-01-14T02:05:00Z"/>
        <d v="2015-01-27T01:30:00Z"/>
        <m/>
      </sharedItems>
    </cacheField>
    <cacheField name="TOTAL_REVENUE" numFmtId="0">
      <sharedItems containsString="0" containsBlank="1" containsNumber="1" containsInteger="1">
        <n v="9600.0"/>
        <n v="17500.0"/>
        <n v="8000.0"/>
        <n v="4900.0"/>
        <n v="17250.0"/>
        <n v="10600.0"/>
        <n v="29000.0"/>
        <n v="6600.0"/>
        <n v="7100.0"/>
        <n v="9900.0"/>
        <n v="12400.0"/>
        <n v="11500.0"/>
        <n v="12900.0"/>
        <n v="22000.0"/>
        <n v="6700.0"/>
        <n v="3600.0"/>
        <n v="11700.0"/>
        <n v="5700.0"/>
        <n v="19900.0"/>
        <n v="9100.0"/>
        <n v="9400.0"/>
        <n v="15500.0"/>
        <n v="11200.0"/>
        <n v="26200.0"/>
        <n v="4200.0"/>
        <n v="13200.0"/>
        <n v="11800.0"/>
        <n v="11600.0"/>
        <n v="36000.0"/>
        <n v="5000.0"/>
        <n v="8700.0"/>
        <n v="11300.0"/>
        <n v="28300.0"/>
        <n v="10500.0"/>
        <n v="18700.0"/>
        <n v="3000.0"/>
        <n v="2400.0"/>
        <n v="4100.0"/>
        <n v="2200.0"/>
        <n v="1300.0"/>
        <n v="9000.0"/>
        <n v="7000.0"/>
        <n v="12800.0"/>
        <n v="3900.0"/>
        <n v="11400.0"/>
        <n v="8100.0"/>
        <n v="9500.0"/>
        <n v="4400.0"/>
        <n v="5900.0"/>
        <n v="15800.0"/>
        <n v="4800.0"/>
        <n v="1700.0"/>
        <n v="2600.0"/>
        <n v="9300.0"/>
        <n v="8500.0"/>
        <n v="2000.0"/>
        <n v="2100.0"/>
        <n v="16300.0"/>
        <n v="15400.0"/>
        <n v="2300.0"/>
        <n v="3700.0"/>
        <n v="8300.0"/>
        <n v="15000.0"/>
        <n v="7600.0"/>
        <n v="4600.0"/>
        <n v="5300.0"/>
        <n v="11000.0"/>
        <n v="1450.0"/>
        <n v="1900.0"/>
        <n v="6000.0"/>
        <n v="7700.0"/>
        <n v="2150.0"/>
        <n v="3750.0"/>
        <n v="12600.0"/>
        <n v="7500.0"/>
        <n v="10250.0"/>
        <n v="2500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Old_Cars_VS_New_Cars_Volume" cacheId="0" dataCaption="" compact="0" compactData="0">
  <location ref="A3:B10" firstHeaderRow="0" firstDataRow="1" firstDataCol="0" rowPageCount="1" colPageCount="1"/>
  <pivotFields>
    <pivotField name="YEAR" axis="axisRow" compact="0" outline="0" multipleItemSelectionAllowed="1" showAll="0" sortType="ascending">
      <items>
        <item x="6"/>
        <item x="5"/>
        <item x="4"/>
        <item x="3"/>
        <item x="1"/>
        <item x="0"/>
        <item x="2"/>
        <item t="default"/>
      </items>
    </pivotField>
    <pivotField name="MA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TR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BOD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RANSMISSION" compact="0" outline="0" multipleItemSelectionAllowed="1" showAll="0">
      <items>
        <item x="0"/>
        <item x="1"/>
        <item x="2"/>
        <item t="default"/>
      </items>
    </pivotField>
    <pivotField name="V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ODOMETER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h="1" x="100"/>
        <item t="default"/>
      </items>
    </pivotField>
    <pivotField name="MM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SELLING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SALE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OTAL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</pivotFields>
  <rowFields>
    <field x="0"/>
  </rowFields>
  <pageFields>
    <pageField fld="9"/>
  </pageFields>
  <dataFields>
    <dataField name="AVERAGE of ODOMETER" fld="9" subtotal="average" baseField="0"/>
  </dataFields>
</pivotTableDefinition>
</file>

<file path=xl/pivotTables/pivotTable2.xml><?xml version="1.0" encoding="utf-8"?>
<pivotTableDefinition xmlns="http://schemas.openxmlformats.org/spreadsheetml/2006/main" name="Region_High_Volome" cacheId="0" dataCaption="" compact="0" compactData="0">
  <location ref="A3:C13" firstHeaderRow="0" firstDataRow="2" firstDataCol="0" rowPageCount="1" colPageCount="1"/>
  <pivotFields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A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TR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BOD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RANSMISSION" compact="0" outline="0" multipleItemSelectionAllowed="1" showAll="0">
      <items>
        <item x="0"/>
        <item x="1"/>
        <item x="2"/>
        <item t="default"/>
      </items>
    </pivotField>
    <pivotField name="V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TATE" axis="axisRow" compact="0" outline="0" multipleItemSelectionAllowed="1" showAll="0" sortType="ascending">
      <items>
        <item x="18"/>
        <item h="1" x="10"/>
        <item h="1" x="13"/>
        <item x="3"/>
        <item x="0"/>
        <item x="4"/>
        <item h="1" x="15"/>
        <item h="1" x="16"/>
        <item h="1" x="14"/>
        <item h="1" x="12"/>
        <item x="8"/>
        <item x="7"/>
        <item x="5"/>
        <item x="2"/>
        <item h="1" x="9"/>
        <item x="1"/>
        <item h="1" x="17"/>
        <item x="6"/>
        <item h="1" x="11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ODOME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M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SELLING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SALEDATE" axis="axisPag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h="1" x="45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</pivotFields>
  <rowFields>
    <field x="7"/>
  </rowFields>
  <colFields>
    <field x="-2"/>
  </colFields>
  <pageFields>
    <pageField fld="12"/>
  </pageFields>
  <dataFields>
    <dataField name="SUM of TOTAL_REVENUE" fld="13" baseField="0"/>
    <dataField name="COUNT of SALEDATE" fld="12" subtotal="countNums" baseField="0"/>
  </dataFields>
</pivotTableDefinition>
</file>

<file path=xl/pivotTables/pivotTable3.xml><?xml version="1.0" encoding="utf-8"?>
<pivotTableDefinition xmlns="http://schemas.openxmlformats.org/spreadsheetml/2006/main" name="Relationship_Between_Total_Reve" cacheId="0" dataCaption="" compact="0" compactData="0">
  <location ref="A3:C10" firstHeaderRow="0" firstDataRow="2" firstDataCol="0" rowPageCount="1" colPageCount="1"/>
  <pivotFields>
    <pivotField name="YEAR" axis="axisRow" compact="0" outline="0" multipleItemSelectionAllowed="1" showAll="0" sortType="ascending">
      <items>
        <item x="6"/>
        <item x="5"/>
        <item x="4"/>
        <item x="3"/>
        <item x="1"/>
        <item x="0"/>
        <item x="2"/>
        <item t="default"/>
      </items>
    </pivotField>
    <pivotField name="MA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TR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BOD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RANSMISSION" compact="0" outline="0" multipleItemSelectionAllowed="1" showAll="0">
      <items>
        <item x="0"/>
        <item x="1"/>
        <item x="2"/>
        <item t="default"/>
      </items>
    </pivotField>
    <pivotField name="V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ODOMET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M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SELLING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SALE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OTAL_REVENUE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h="1" x="7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pageFields>
    <pageField fld="13"/>
  </pageFields>
  <dataFields>
    <dataField name="SUM of TOTAL_REVENUE" fld="13" baseField="0"/>
    <dataField name="AVERAGE of ODOMETER" fld="9" subtotal="average" baseField="0"/>
  </dataFields>
</pivotTableDefinition>
</file>

<file path=xl/pivotTables/pivotTable4.xml><?xml version="1.0" encoding="utf-8"?>
<pivotTableDefinition xmlns="http://schemas.openxmlformats.org/spreadsheetml/2006/main" name="MOST_REVENUE" cacheId="0" dataCaption="" compact="0" compactData="0">
  <location ref="A3:B13" firstHeaderRow="0" firstDataRow="1" firstDataCol="0" rowPageCount="1" colPageCount="1"/>
  <pivotFields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``" axis="axisRow" compact="0" outline="0" multipleItemSelectionAllowed="1" showAll="0" sortType="ascending">
      <items>
        <item x="30"/>
        <item x="10"/>
        <item x="11"/>
        <item x="12"/>
        <item x="22"/>
        <item x="13"/>
        <item x="14"/>
        <item x="15"/>
        <item x="26"/>
        <item x="0"/>
        <item x="1"/>
        <item x="2"/>
        <item x="3"/>
        <item x="16"/>
        <item x="23"/>
        <item x="4"/>
        <item x="17"/>
        <item x="18"/>
        <item x="24"/>
        <item x="6"/>
        <item x="27"/>
        <item x="5"/>
        <item x="29"/>
        <item x="7"/>
        <item x="19"/>
        <item x="20"/>
        <item x="28"/>
        <item x="8"/>
        <item x="9"/>
        <item x="25"/>
        <item x="21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TR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BOD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RANSMISSION" compact="0" outline="0" multipleItemSelectionAllowed="1" showAll="0">
      <items>
        <item x="0"/>
        <item x="1"/>
        <item x="2"/>
        <item t="default"/>
      </items>
    </pivotField>
    <pivotField name="V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ODOME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M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SELLING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SALE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OTAL_REVENUE" axis="axisPage" dataField="1" compact="0" outline="0" multipleItemSelectionAllowed="1" showAll="0">
      <items>
        <item h="1" x="0"/>
        <item x="1"/>
        <item h="1" x="2"/>
        <item h="1" x="3"/>
        <item x="4"/>
        <item h="1" x="5"/>
        <item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x="18"/>
        <item h="1" x="19"/>
        <item h="1" x="20"/>
        <item x="21"/>
        <item h="1" x="22"/>
        <item x="23"/>
        <item h="1" x="24"/>
        <item h="1" x="25"/>
        <item h="1" x="26"/>
        <item h="1" x="27"/>
        <item x="28"/>
        <item h="1" x="29"/>
        <item h="1" x="30"/>
        <item h="1" x="31"/>
        <item x="32"/>
        <item h="1" x="33"/>
        <item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x="49"/>
        <item h="1" x="50"/>
        <item h="1" x="51"/>
        <item h="1" x="52"/>
        <item h="1" x="53"/>
        <item h="1" x="54"/>
        <item h="1" x="55"/>
        <item h="1" x="56"/>
        <item x="57"/>
        <item x="58"/>
        <item h="1" x="59"/>
        <item h="1" x="60"/>
        <item h="1" x="61"/>
        <item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</pivotFields>
  <rowFields>
    <field x="1"/>
  </rowFields>
  <pageFields>
    <pageField fld="13"/>
  </pageFields>
  <dataFields>
    <dataField name="SUM of TOTAL_REVENUE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14</v>
      </c>
      <c r="Q1" s="2" t="s">
        <v>14</v>
      </c>
      <c r="R1" s="2" t="s">
        <v>14</v>
      </c>
      <c r="S1" s="2" t="s">
        <v>14</v>
      </c>
      <c r="T1" s="2" t="s">
        <v>14</v>
      </c>
      <c r="U1" s="2" t="s">
        <v>14</v>
      </c>
      <c r="V1" s="2" t="s">
        <v>14</v>
      </c>
      <c r="W1" s="2" t="s">
        <v>14</v>
      </c>
      <c r="X1" s="2" t="s">
        <v>14</v>
      </c>
      <c r="Y1" s="2" t="s">
        <v>14</v>
      </c>
      <c r="Z1" s="2" t="s">
        <v>14</v>
      </c>
    </row>
    <row r="2">
      <c r="A2" s="1">
        <v>2009.0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23.0</v>
      </c>
      <c r="J2" s="1">
        <v>94380.0</v>
      </c>
      <c r="K2" s="1">
        <v>11200.0</v>
      </c>
      <c r="L2" s="1">
        <v>9600.0</v>
      </c>
      <c r="M2" s="3">
        <v>42041.09375</v>
      </c>
      <c r="N2" s="1">
        <v>9600.0</v>
      </c>
    </row>
    <row r="3">
      <c r="A3" s="1">
        <v>2009.0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19</v>
      </c>
      <c r="G3" s="1" t="s">
        <v>26</v>
      </c>
      <c r="H3" s="1" t="s">
        <v>27</v>
      </c>
      <c r="I3" s="1">
        <v>33.0</v>
      </c>
      <c r="J3" s="1">
        <v>100008.0</v>
      </c>
      <c r="K3" s="1">
        <v>18500.0</v>
      </c>
      <c r="L3" s="1">
        <v>17500.0</v>
      </c>
      <c r="M3" s="4">
        <v>42018.09722222222</v>
      </c>
      <c r="N3" s="1">
        <v>17500.0</v>
      </c>
    </row>
    <row r="4">
      <c r="A4" s="1">
        <v>2009.0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19</v>
      </c>
      <c r="G4" s="1" t="s">
        <v>32</v>
      </c>
      <c r="H4" s="1" t="s">
        <v>21</v>
      </c>
      <c r="I4" s="1">
        <v>34.0</v>
      </c>
      <c r="J4" s="1">
        <v>66062.0</v>
      </c>
      <c r="K4" s="1">
        <v>7750.0</v>
      </c>
      <c r="L4" s="1">
        <v>8000.0</v>
      </c>
      <c r="M4" s="4">
        <v>42020.052083333336</v>
      </c>
      <c r="N4" s="1">
        <v>8000.0</v>
      </c>
    </row>
    <row r="5">
      <c r="A5" s="1">
        <v>2009.0</v>
      </c>
      <c r="B5" s="1" t="s">
        <v>33</v>
      </c>
      <c r="C5" s="1" t="s">
        <v>34</v>
      </c>
      <c r="D5" s="1" t="s">
        <v>35</v>
      </c>
      <c r="E5" s="1" t="s">
        <v>31</v>
      </c>
      <c r="F5" s="1" t="s">
        <v>19</v>
      </c>
      <c r="G5" s="1" t="s">
        <v>36</v>
      </c>
      <c r="H5" s="1" t="s">
        <v>21</v>
      </c>
      <c r="I5" s="1">
        <v>35.0</v>
      </c>
      <c r="J5" s="1">
        <v>144507.0</v>
      </c>
      <c r="K5" s="1">
        <v>3425.0</v>
      </c>
      <c r="L5" s="1">
        <v>4900.0</v>
      </c>
      <c r="M5" s="4">
        <v>42024.333333333336</v>
      </c>
      <c r="N5" s="1">
        <v>4900.0</v>
      </c>
    </row>
    <row r="6">
      <c r="A6" s="1">
        <v>2009.0</v>
      </c>
      <c r="B6" s="1" t="s">
        <v>37</v>
      </c>
      <c r="C6" s="1" t="s">
        <v>38</v>
      </c>
      <c r="D6" s="1" t="s">
        <v>39</v>
      </c>
      <c r="E6" s="1" t="s">
        <v>25</v>
      </c>
      <c r="G6" s="1" t="s">
        <v>40</v>
      </c>
      <c r="H6" s="1" t="s">
        <v>41</v>
      </c>
      <c r="I6" s="1">
        <v>47.0</v>
      </c>
      <c r="J6" s="1">
        <v>27166.0</v>
      </c>
      <c r="K6" s="1">
        <v>16550.0</v>
      </c>
      <c r="L6" s="1">
        <v>17250.0</v>
      </c>
      <c r="M6" s="4">
        <v>42020.041666666664</v>
      </c>
      <c r="N6" s="1">
        <v>17250.0</v>
      </c>
    </row>
    <row r="7">
      <c r="A7" s="1">
        <v>2009.0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19</v>
      </c>
      <c r="G7" s="1" t="s">
        <v>46</v>
      </c>
      <c r="H7" s="1" t="s">
        <v>41</v>
      </c>
      <c r="I7" s="1">
        <v>43.0</v>
      </c>
      <c r="J7" s="1">
        <v>49407.0</v>
      </c>
      <c r="K7" s="1">
        <v>9650.0</v>
      </c>
      <c r="L7" s="1">
        <v>10600.0</v>
      </c>
      <c r="M7" s="4">
        <v>42020.041666666664</v>
      </c>
      <c r="N7" s="1">
        <v>10600.0</v>
      </c>
    </row>
    <row r="8">
      <c r="A8" s="1">
        <v>2009.0</v>
      </c>
      <c r="B8" s="1" t="s">
        <v>47</v>
      </c>
      <c r="C8" s="1" t="s">
        <v>48</v>
      </c>
      <c r="D8" s="1" t="s">
        <v>49</v>
      </c>
      <c r="E8" s="1" t="s">
        <v>31</v>
      </c>
      <c r="F8" s="1" t="s">
        <v>19</v>
      </c>
      <c r="G8" s="1" t="s">
        <v>50</v>
      </c>
      <c r="H8" s="1" t="s">
        <v>51</v>
      </c>
      <c r="I8" s="1">
        <v>26.0</v>
      </c>
      <c r="J8" s="1">
        <v>85162.0</v>
      </c>
      <c r="K8" s="1">
        <v>29000.0</v>
      </c>
      <c r="L8" s="1">
        <v>29000.0</v>
      </c>
      <c r="M8" s="4">
        <v>42018.1875</v>
      </c>
      <c r="N8" s="1">
        <v>29000.0</v>
      </c>
    </row>
    <row r="9">
      <c r="A9" s="1">
        <v>2009.0</v>
      </c>
      <c r="B9" s="1" t="s">
        <v>52</v>
      </c>
      <c r="C9" s="1" t="s">
        <v>53</v>
      </c>
      <c r="D9" s="1" t="s">
        <v>44</v>
      </c>
      <c r="E9" s="1" t="s">
        <v>25</v>
      </c>
      <c r="G9" s="1" t="s">
        <v>54</v>
      </c>
      <c r="H9" s="1" t="s">
        <v>41</v>
      </c>
      <c r="I9" s="1">
        <v>44.0</v>
      </c>
      <c r="J9" s="1">
        <v>112354.0</v>
      </c>
      <c r="K9" s="1">
        <v>7250.0</v>
      </c>
      <c r="L9" s="1">
        <v>6600.0</v>
      </c>
      <c r="M9" s="4">
        <v>42020.041666666664</v>
      </c>
      <c r="N9" s="1">
        <v>6600.0</v>
      </c>
    </row>
    <row r="10">
      <c r="A10" s="1">
        <v>2009.0</v>
      </c>
      <c r="B10" s="1" t="s">
        <v>55</v>
      </c>
      <c r="C10" s="1" t="s">
        <v>56</v>
      </c>
      <c r="D10" s="1" t="s">
        <v>57</v>
      </c>
      <c r="E10" s="1" t="s">
        <v>45</v>
      </c>
      <c r="F10" s="1" t="s">
        <v>19</v>
      </c>
      <c r="G10" s="1" t="s">
        <v>58</v>
      </c>
      <c r="H10" s="1" t="s">
        <v>51</v>
      </c>
      <c r="I10" s="1">
        <v>37.0</v>
      </c>
      <c r="J10" s="1">
        <v>56498.0</v>
      </c>
      <c r="K10" s="1">
        <v>5425.0</v>
      </c>
      <c r="L10" s="1">
        <v>7100.0</v>
      </c>
      <c r="M10" s="4">
        <v>42018.1875</v>
      </c>
      <c r="N10" s="1">
        <v>7100.0</v>
      </c>
    </row>
    <row r="11">
      <c r="A11" s="1">
        <v>2009.0</v>
      </c>
      <c r="B11" s="1" t="s">
        <v>59</v>
      </c>
      <c r="C11" s="1" t="s">
        <v>60</v>
      </c>
      <c r="D11" s="1" t="s">
        <v>61</v>
      </c>
      <c r="E11" s="1" t="s">
        <v>25</v>
      </c>
      <c r="F11" s="1" t="s">
        <v>19</v>
      </c>
      <c r="G11" s="1" t="s">
        <v>62</v>
      </c>
      <c r="H11" s="1" t="s">
        <v>63</v>
      </c>
      <c r="I11" s="1">
        <v>31.0</v>
      </c>
      <c r="J11" s="1">
        <v>99912.0</v>
      </c>
      <c r="K11" s="1">
        <v>9300.0</v>
      </c>
      <c r="L11" s="1">
        <v>9900.0</v>
      </c>
      <c r="M11" s="4">
        <v>42019.083333333336</v>
      </c>
      <c r="N11" s="1">
        <v>9900.0</v>
      </c>
    </row>
    <row r="12">
      <c r="A12" s="1">
        <v>2008.0</v>
      </c>
      <c r="B12" s="1" t="s">
        <v>64</v>
      </c>
      <c r="C12" s="1" t="s">
        <v>65</v>
      </c>
      <c r="D12" s="1" t="s">
        <v>66</v>
      </c>
      <c r="E12" s="1" t="s">
        <v>31</v>
      </c>
      <c r="F12" s="1" t="s">
        <v>19</v>
      </c>
      <c r="G12" s="1" t="s">
        <v>67</v>
      </c>
      <c r="H12" s="1" t="s">
        <v>68</v>
      </c>
      <c r="I12" s="1">
        <v>28.0</v>
      </c>
      <c r="J12" s="1">
        <v>73164.0</v>
      </c>
      <c r="K12" s="1">
        <v>9050.0</v>
      </c>
      <c r="L12" s="1">
        <v>9600.0</v>
      </c>
      <c r="M12" s="4">
        <v>42020.166666666664</v>
      </c>
      <c r="N12" s="1">
        <v>9600.0</v>
      </c>
    </row>
    <row r="13">
      <c r="A13" s="1">
        <v>2008.0</v>
      </c>
      <c r="B13" s="1" t="s">
        <v>64</v>
      </c>
      <c r="C13" s="1" t="s">
        <v>69</v>
      </c>
      <c r="D13" s="1" t="s">
        <v>70</v>
      </c>
      <c r="E13" s="1" t="s">
        <v>31</v>
      </c>
      <c r="G13" s="1" t="s">
        <v>71</v>
      </c>
      <c r="H13" s="1" t="s">
        <v>41</v>
      </c>
      <c r="I13" s="1">
        <v>38.0</v>
      </c>
      <c r="J13" s="1">
        <v>74394.0</v>
      </c>
      <c r="K13" s="1">
        <v>13200.0</v>
      </c>
      <c r="L13" s="1">
        <v>12400.0</v>
      </c>
      <c r="M13" s="4">
        <v>42020.041666666664</v>
      </c>
      <c r="N13" s="1">
        <v>12400.0</v>
      </c>
    </row>
    <row r="14">
      <c r="A14" s="1">
        <v>2008.0</v>
      </c>
      <c r="B14" s="1" t="s">
        <v>72</v>
      </c>
      <c r="C14" s="1" t="s">
        <v>73</v>
      </c>
      <c r="D14" s="1" t="s">
        <v>74</v>
      </c>
      <c r="E14" s="1" t="s">
        <v>31</v>
      </c>
      <c r="F14" s="1" t="s">
        <v>19</v>
      </c>
      <c r="G14" s="1" t="s">
        <v>75</v>
      </c>
      <c r="H14" s="1" t="s">
        <v>76</v>
      </c>
      <c r="I14" s="1">
        <v>26.0</v>
      </c>
      <c r="J14" s="1">
        <v>115181.0</v>
      </c>
      <c r="K14" s="1">
        <v>12550.0</v>
      </c>
      <c r="L14" s="1">
        <v>11500.0</v>
      </c>
      <c r="M14" s="4">
        <v>42019.04513888889</v>
      </c>
      <c r="N14" s="1">
        <v>11500.0</v>
      </c>
    </row>
    <row r="15">
      <c r="A15" s="1">
        <v>2008.0</v>
      </c>
      <c r="B15" s="1" t="s">
        <v>77</v>
      </c>
      <c r="C15" s="1" t="s">
        <v>78</v>
      </c>
      <c r="D15" s="1" t="s">
        <v>79</v>
      </c>
      <c r="E15" s="1" t="s">
        <v>25</v>
      </c>
      <c r="F15" s="1" t="s">
        <v>19</v>
      </c>
      <c r="G15" s="1" t="s">
        <v>80</v>
      </c>
      <c r="H15" s="1" t="s">
        <v>81</v>
      </c>
      <c r="I15" s="1">
        <v>38.0</v>
      </c>
      <c r="J15" s="1">
        <v>94872.0</v>
      </c>
      <c r="K15" s="1">
        <v>12100.0</v>
      </c>
      <c r="L15" s="1">
        <v>12900.0</v>
      </c>
      <c r="M15" s="4">
        <v>42032.0625</v>
      </c>
      <c r="N15" s="1">
        <v>12900.0</v>
      </c>
    </row>
    <row r="16">
      <c r="A16" s="1">
        <v>2008.0</v>
      </c>
      <c r="B16" s="1" t="s">
        <v>82</v>
      </c>
      <c r="C16" s="1" t="s">
        <v>83</v>
      </c>
      <c r="D16" s="1" t="s">
        <v>84</v>
      </c>
      <c r="E16" s="1" t="s">
        <v>85</v>
      </c>
      <c r="F16" s="1" t="s">
        <v>19</v>
      </c>
      <c r="G16" s="1" t="s">
        <v>86</v>
      </c>
      <c r="H16" s="1" t="s">
        <v>51</v>
      </c>
      <c r="I16" s="1">
        <v>39.0</v>
      </c>
      <c r="J16" s="1">
        <v>81834.0</v>
      </c>
      <c r="K16" s="1">
        <v>17700.0</v>
      </c>
      <c r="L16" s="1">
        <v>22000.0</v>
      </c>
      <c r="M16" s="4">
        <v>42019.145833333336</v>
      </c>
      <c r="N16" s="1">
        <v>22000.0</v>
      </c>
    </row>
    <row r="17">
      <c r="A17" s="1">
        <v>2008.0</v>
      </c>
      <c r="B17" s="1" t="s">
        <v>82</v>
      </c>
      <c r="C17" s="1" t="s">
        <v>87</v>
      </c>
      <c r="D17" s="1" t="s">
        <v>84</v>
      </c>
      <c r="E17" s="1" t="s">
        <v>31</v>
      </c>
      <c r="F17" s="1" t="s">
        <v>19</v>
      </c>
      <c r="G17" s="1" t="s">
        <v>88</v>
      </c>
      <c r="H17" s="1" t="s">
        <v>68</v>
      </c>
      <c r="I17" s="1">
        <v>26.0</v>
      </c>
      <c r="J17" s="1">
        <v>76535.0</v>
      </c>
      <c r="K17" s="1">
        <v>6025.0</v>
      </c>
      <c r="L17" s="1">
        <v>6700.0</v>
      </c>
      <c r="M17" s="4">
        <v>42019.15625</v>
      </c>
      <c r="N17" s="1">
        <v>6700.0</v>
      </c>
    </row>
    <row r="18">
      <c r="A18" s="1">
        <v>2008.0</v>
      </c>
      <c r="B18" s="1" t="s">
        <v>82</v>
      </c>
      <c r="C18" s="1" t="s">
        <v>87</v>
      </c>
      <c r="D18" s="1" t="s">
        <v>84</v>
      </c>
      <c r="E18" s="1" t="s">
        <v>31</v>
      </c>
      <c r="F18" s="1" t="s">
        <v>19</v>
      </c>
      <c r="G18" s="1" t="s">
        <v>89</v>
      </c>
      <c r="H18" s="1" t="s">
        <v>76</v>
      </c>
      <c r="I18" s="1">
        <v>19.0</v>
      </c>
      <c r="J18" s="1">
        <v>104239.0</v>
      </c>
      <c r="K18" s="1">
        <v>5125.0</v>
      </c>
      <c r="L18" s="1">
        <v>3600.0</v>
      </c>
      <c r="M18" s="4">
        <v>42046.0625</v>
      </c>
      <c r="N18" s="1">
        <v>3600.0</v>
      </c>
    </row>
    <row r="19">
      <c r="A19" s="1">
        <v>2008.0</v>
      </c>
      <c r="B19" s="1" t="s">
        <v>90</v>
      </c>
      <c r="C19" s="1" t="s">
        <v>91</v>
      </c>
      <c r="D19" s="1" t="s">
        <v>92</v>
      </c>
      <c r="E19" s="1" t="s">
        <v>25</v>
      </c>
      <c r="F19" s="1" t="s">
        <v>19</v>
      </c>
      <c r="G19" s="1" t="s">
        <v>93</v>
      </c>
      <c r="H19" s="1" t="s">
        <v>94</v>
      </c>
      <c r="I19" s="1">
        <v>36.0</v>
      </c>
      <c r="J19" s="1">
        <v>159883.0</v>
      </c>
      <c r="K19" s="1">
        <v>4475.0</v>
      </c>
      <c r="L19" s="1">
        <v>6700.0</v>
      </c>
      <c r="M19" s="4">
        <v>42023.041666666664</v>
      </c>
      <c r="N19" s="1">
        <v>6700.0</v>
      </c>
    </row>
    <row r="20">
      <c r="A20" s="1">
        <v>2014.0</v>
      </c>
      <c r="B20" s="1" t="s">
        <v>95</v>
      </c>
      <c r="C20" s="1" t="s">
        <v>96</v>
      </c>
      <c r="D20" s="1" t="s">
        <v>97</v>
      </c>
      <c r="E20" s="1" t="s">
        <v>31</v>
      </c>
      <c r="F20" s="1" t="s">
        <v>19</v>
      </c>
      <c r="G20" s="1" t="s">
        <v>98</v>
      </c>
      <c r="H20" s="1" t="s">
        <v>63</v>
      </c>
      <c r="I20" s="1">
        <v>27.0</v>
      </c>
      <c r="J20" s="1">
        <v>16651.0</v>
      </c>
      <c r="K20" s="1">
        <v>11850.0</v>
      </c>
      <c r="L20" s="1">
        <v>11700.0</v>
      </c>
      <c r="M20" s="4">
        <v>42024.0625</v>
      </c>
      <c r="N20" s="1">
        <v>11700.0</v>
      </c>
    </row>
    <row r="21">
      <c r="A21" s="1">
        <v>2008.0</v>
      </c>
      <c r="B21" s="1" t="s">
        <v>15</v>
      </c>
      <c r="C21" s="1" t="s">
        <v>16</v>
      </c>
      <c r="D21" s="1" t="s">
        <v>99</v>
      </c>
      <c r="E21" s="1" t="s">
        <v>18</v>
      </c>
      <c r="G21" s="1" t="s">
        <v>100</v>
      </c>
      <c r="H21" s="1" t="s">
        <v>41</v>
      </c>
      <c r="I21" s="1">
        <v>21.0</v>
      </c>
      <c r="J21" s="1">
        <v>153944.0</v>
      </c>
      <c r="K21" s="1">
        <v>4775.0</v>
      </c>
      <c r="L21" s="1">
        <v>5700.0</v>
      </c>
      <c r="M21" s="4">
        <v>42018.0625</v>
      </c>
      <c r="N21" s="1">
        <v>5700.0</v>
      </c>
    </row>
    <row r="22">
      <c r="A22" s="1">
        <v>2008.0</v>
      </c>
      <c r="B22" s="1" t="s">
        <v>15</v>
      </c>
      <c r="C22" s="1" t="s">
        <v>101</v>
      </c>
      <c r="D22" s="1" t="s">
        <v>102</v>
      </c>
      <c r="E22" s="1" t="s">
        <v>103</v>
      </c>
      <c r="G22" s="1" t="s">
        <v>104</v>
      </c>
      <c r="H22" s="1" t="s">
        <v>27</v>
      </c>
      <c r="I22" s="1">
        <v>29.0</v>
      </c>
      <c r="J22" s="1">
        <v>96381.0</v>
      </c>
      <c r="K22" s="1">
        <v>11750.0</v>
      </c>
      <c r="L22" s="1">
        <v>12400.0</v>
      </c>
      <c r="M22" s="4">
        <v>42019.125</v>
      </c>
      <c r="N22" s="1">
        <v>12400.0</v>
      </c>
    </row>
    <row r="23">
      <c r="A23" s="1">
        <v>2008.0</v>
      </c>
      <c r="B23" s="1" t="s">
        <v>15</v>
      </c>
      <c r="C23" s="1" t="s">
        <v>105</v>
      </c>
      <c r="D23" s="1" t="s">
        <v>102</v>
      </c>
      <c r="E23" s="1" t="s">
        <v>85</v>
      </c>
      <c r="F23" s="1" t="s">
        <v>19</v>
      </c>
      <c r="G23" s="1" t="s">
        <v>106</v>
      </c>
      <c r="H23" s="1" t="s">
        <v>27</v>
      </c>
      <c r="I23" s="1">
        <v>31.0</v>
      </c>
      <c r="J23" s="1">
        <v>115189.0</v>
      </c>
      <c r="K23" s="1">
        <v>19150.0</v>
      </c>
      <c r="L23" s="1">
        <v>19900.0</v>
      </c>
      <c r="M23" s="4">
        <v>42018.09375</v>
      </c>
      <c r="N23" s="1">
        <v>19900.0</v>
      </c>
    </row>
    <row r="24">
      <c r="A24" s="1">
        <v>2008.0</v>
      </c>
      <c r="B24" s="1" t="s">
        <v>22</v>
      </c>
      <c r="C24" s="1" t="s">
        <v>107</v>
      </c>
      <c r="D24" s="1" t="s">
        <v>108</v>
      </c>
      <c r="E24" s="1" t="s">
        <v>109</v>
      </c>
      <c r="F24" s="1" t="s">
        <v>19</v>
      </c>
      <c r="G24" s="1" t="s">
        <v>110</v>
      </c>
      <c r="H24" s="1" t="s">
        <v>76</v>
      </c>
      <c r="I24" s="1">
        <v>35.0</v>
      </c>
      <c r="J24" s="1">
        <v>88987.0</v>
      </c>
      <c r="K24" s="1">
        <v>7900.0</v>
      </c>
      <c r="L24" s="1">
        <v>9100.0</v>
      </c>
      <c r="M24" s="4">
        <v>42019.055555555555</v>
      </c>
      <c r="N24" s="1">
        <v>9100.0</v>
      </c>
    </row>
    <row r="25">
      <c r="A25" s="1">
        <v>2008.0</v>
      </c>
      <c r="B25" s="1" t="s">
        <v>28</v>
      </c>
      <c r="C25" s="1" t="s">
        <v>111</v>
      </c>
      <c r="D25" s="1" t="s">
        <v>112</v>
      </c>
      <c r="E25" s="1" t="s">
        <v>31</v>
      </c>
      <c r="F25" s="1" t="s">
        <v>19</v>
      </c>
      <c r="G25" s="1" t="s">
        <v>113</v>
      </c>
      <c r="H25" s="1" t="s">
        <v>114</v>
      </c>
      <c r="I25" s="1">
        <v>31.0</v>
      </c>
      <c r="J25" s="1">
        <v>85453.0</v>
      </c>
      <c r="K25" s="1">
        <v>9950.0</v>
      </c>
      <c r="L25" s="1">
        <v>9900.0</v>
      </c>
      <c r="M25" s="4">
        <v>42019.09375</v>
      </c>
      <c r="N25" s="1">
        <v>9900.0</v>
      </c>
    </row>
    <row r="26">
      <c r="A26" s="1">
        <v>2008.0</v>
      </c>
      <c r="B26" s="1" t="s">
        <v>33</v>
      </c>
      <c r="C26" s="1" t="s">
        <v>115</v>
      </c>
      <c r="D26" s="1" t="s">
        <v>92</v>
      </c>
      <c r="E26" s="1" t="s">
        <v>25</v>
      </c>
      <c r="F26" s="1" t="s">
        <v>19</v>
      </c>
      <c r="G26" s="1" t="s">
        <v>116</v>
      </c>
      <c r="H26" s="1" t="s">
        <v>21</v>
      </c>
      <c r="I26" s="1">
        <v>3.0</v>
      </c>
      <c r="J26" s="1">
        <v>93072.0</v>
      </c>
      <c r="K26" s="1">
        <v>9275.0</v>
      </c>
      <c r="L26" s="1">
        <v>9400.0</v>
      </c>
      <c r="M26" s="4">
        <v>42020.052083333336</v>
      </c>
      <c r="N26" s="1">
        <v>9400.0</v>
      </c>
    </row>
    <row r="27">
      <c r="A27" s="1">
        <v>2008.0</v>
      </c>
      <c r="B27" s="1" t="s">
        <v>117</v>
      </c>
      <c r="C27" s="1" t="s">
        <v>118</v>
      </c>
      <c r="D27" s="1" t="s">
        <v>119</v>
      </c>
      <c r="E27" s="1" t="s">
        <v>25</v>
      </c>
      <c r="G27" s="1" t="s">
        <v>120</v>
      </c>
      <c r="H27" s="1" t="s">
        <v>21</v>
      </c>
      <c r="I27" s="1">
        <v>36.0</v>
      </c>
      <c r="J27" s="1">
        <v>59082.0</v>
      </c>
      <c r="K27" s="1">
        <v>14400.0</v>
      </c>
      <c r="L27" s="1">
        <v>15500.0</v>
      </c>
      <c r="M27" s="4">
        <v>42020.052083333336</v>
      </c>
      <c r="N27" s="1">
        <v>15500.0</v>
      </c>
    </row>
    <row r="28">
      <c r="A28" s="1">
        <v>2008.0</v>
      </c>
      <c r="B28" s="1" t="s">
        <v>121</v>
      </c>
      <c r="C28" s="1" t="s">
        <v>122</v>
      </c>
      <c r="D28" s="1" t="s">
        <v>61</v>
      </c>
      <c r="E28" s="1" t="s">
        <v>31</v>
      </c>
      <c r="G28" s="1" t="s">
        <v>123</v>
      </c>
      <c r="H28" s="1" t="s">
        <v>41</v>
      </c>
      <c r="I28" s="1">
        <v>32.0</v>
      </c>
      <c r="J28" s="1">
        <v>80676.0</v>
      </c>
      <c r="K28" s="1">
        <v>13000.0</v>
      </c>
      <c r="L28" s="1">
        <v>11200.0</v>
      </c>
      <c r="M28" s="4">
        <v>42020.041666666664</v>
      </c>
      <c r="N28" s="1">
        <v>11200.0</v>
      </c>
    </row>
    <row r="29">
      <c r="A29" s="1">
        <v>2014.0</v>
      </c>
      <c r="B29" s="1" t="s">
        <v>95</v>
      </c>
      <c r="C29" s="1" t="s">
        <v>124</v>
      </c>
      <c r="D29" s="1" t="s">
        <v>125</v>
      </c>
      <c r="E29" s="1" t="s">
        <v>31</v>
      </c>
      <c r="G29" s="1" t="s">
        <v>126</v>
      </c>
      <c r="H29" s="1" t="s">
        <v>127</v>
      </c>
      <c r="I29" s="1">
        <v>43.0</v>
      </c>
      <c r="J29" s="1">
        <v>9915.0</v>
      </c>
      <c r="K29" s="1">
        <v>24500.0</v>
      </c>
      <c r="L29" s="1">
        <v>26200.0</v>
      </c>
      <c r="M29" s="4">
        <v>42019.145833333336</v>
      </c>
      <c r="N29" s="1">
        <v>26200.0</v>
      </c>
    </row>
    <row r="30">
      <c r="A30" s="1">
        <v>2008.0</v>
      </c>
      <c r="B30" s="1" t="s">
        <v>128</v>
      </c>
      <c r="C30" s="1" t="s">
        <v>129</v>
      </c>
      <c r="D30" s="1" t="s">
        <v>61</v>
      </c>
      <c r="E30" s="1" t="s">
        <v>31</v>
      </c>
      <c r="F30" s="1" t="s">
        <v>19</v>
      </c>
      <c r="G30" s="1" t="s">
        <v>130</v>
      </c>
      <c r="H30" s="1" t="s">
        <v>131</v>
      </c>
      <c r="I30" s="1">
        <v>27.0</v>
      </c>
      <c r="J30" s="1">
        <v>136320.0</v>
      </c>
      <c r="K30" s="1">
        <v>4800.0</v>
      </c>
      <c r="L30" s="1">
        <v>4200.0</v>
      </c>
      <c r="M30" s="4">
        <v>42018.083333333336</v>
      </c>
      <c r="N30" s="1">
        <v>4200.0</v>
      </c>
    </row>
    <row r="31">
      <c r="A31" s="1">
        <v>2008.0</v>
      </c>
      <c r="B31" s="1" t="s">
        <v>47</v>
      </c>
      <c r="C31" s="1" t="s">
        <v>132</v>
      </c>
      <c r="D31" s="1" t="s">
        <v>133</v>
      </c>
      <c r="E31" s="1" t="s">
        <v>31</v>
      </c>
      <c r="G31" s="1" t="s">
        <v>134</v>
      </c>
      <c r="H31" s="1" t="s">
        <v>41</v>
      </c>
      <c r="I31" s="1">
        <v>32.0</v>
      </c>
      <c r="J31" s="1">
        <v>88359.0</v>
      </c>
      <c r="K31" s="1">
        <v>11950.0</v>
      </c>
      <c r="L31" s="1">
        <v>13200.0</v>
      </c>
      <c r="M31" s="4">
        <v>42020.041666666664</v>
      </c>
      <c r="N31" s="1">
        <v>13200.0</v>
      </c>
    </row>
    <row r="32">
      <c r="A32" s="1">
        <v>2008.0</v>
      </c>
      <c r="B32" s="1" t="s">
        <v>47</v>
      </c>
      <c r="C32" s="1" t="s">
        <v>135</v>
      </c>
      <c r="D32" s="1" t="s">
        <v>136</v>
      </c>
      <c r="E32" s="1" t="s">
        <v>25</v>
      </c>
      <c r="F32" s="1" t="s">
        <v>19</v>
      </c>
      <c r="G32" s="1" t="s">
        <v>137</v>
      </c>
      <c r="H32" s="1" t="s">
        <v>76</v>
      </c>
      <c r="I32" s="1">
        <v>21.0</v>
      </c>
      <c r="J32" s="1">
        <v>99994.0</v>
      </c>
      <c r="K32" s="1">
        <v>12550.0</v>
      </c>
      <c r="L32" s="1">
        <v>11800.0</v>
      </c>
      <c r="M32" s="4">
        <v>42032.0625</v>
      </c>
      <c r="N32" s="1">
        <v>11800.0</v>
      </c>
    </row>
    <row r="33">
      <c r="A33" s="1">
        <v>2008.0</v>
      </c>
      <c r="B33" s="1" t="s">
        <v>52</v>
      </c>
      <c r="C33" s="1" t="s">
        <v>138</v>
      </c>
      <c r="D33" s="1" t="s">
        <v>97</v>
      </c>
      <c r="E33" s="1" t="s">
        <v>25</v>
      </c>
      <c r="F33" s="1" t="s">
        <v>19</v>
      </c>
      <c r="G33" s="1" t="s">
        <v>139</v>
      </c>
      <c r="H33" s="1" t="s">
        <v>94</v>
      </c>
      <c r="I33" s="1">
        <v>29.0</v>
      </c>
      <c r="J33" s="1">
        <v>85430.0</v>
      </c>
      <c r="K33" s="1">
        <v>12700.0</v>
      </c>
      <c r="L33" s="1">
        <v>11600.0</v>
      </c>
      <c r="M33" s="4">
        <v>42023.041666666664</v>
      </c>
      <c r="N33" s="1">
        <v>11600.0</v>
      </c>
    </row>
    <row r="34">
      <c r="A34" s="1">
        <v>2008.0</v>
      </c>
      <c r="B34" s="1" t="s">
        <v>140</v>
      </c>
      <c r="C34" s="1" t="s">
        <v>141</v>
      </c>
      <c r="D34" s="1" t="s">
        <v>142</v>
      </c>
      <c r="E34" s="1" t="s">
        <v>25</v>
      </c>
      <c r="F34" s="1" t="s">
        <v>143</v>
      </c>
      <c r="G34" s="1" t="s">
        <v>144</v>
      </c>
      <c r="H34" s="1" t="s">
        <v>41</v>
      </c>
      <c r="I34" s="1">
        <v>4.0</v>
      </c>
      <c r="J34" s="1">
        <v>35645.0</v>
      </c>
      <c r="K34" s="1">
        <v>29100.0</v>
      </c>
      <c r="L34" s="1">
        <v>36000.0</v>
      </c>
      <c r="M34" s="4">
        <v>42020.041666666664</v>
      </c>
      <c r="N34" s="1">
        <v>36000.0</v>
      </c>
    </row>
    <row r="35">
      <c r="A35" s="1">
        <v>2008.0</v>
      </c>
      <c r="B35" s="1" t="s">
        <v>145</v>
      </c>
      <c r="C35" s="1" t="s">
        <v>146</v>
      </c>
      <c r="D35" s="1" t="s">
        <v>147</v>
      </c>
      <c r="E35" s="1" t="s">
        <v>31</v>
      </c>
      <c r="F35" s="1" t="s">
        <v>19</v>
      </c>
      <c r="G35" s="1" t="s">
        <v>148</v>
      </c>
      <c r="H35" s="1" t="s">
        <v>51</v>
      </c>
      <c r="I35" s="1">
        <v>32.0</v>
      </c>
      <c r="J35" s="1">
        <v>83352.0</v>
      </c>
      <c r="K35" s="1">
        <v>5075.0</v>
      </c>
      <c r="L35" s="1">
        <v>5000.0</v>
      </c>
      <c r="M35" s="4">
        <v>42019.166666666664</v>
      </c>
      <c r="N35" s="1">
        <v>5000.0</v>
      </c>
    </row>
    <row r="36">
      <c r="A36" s="1">
        <v>2008.0</v>
      </c>
      <c r="B36" s="1" t="s">
        <v>59</v>
      </c>
      <c r="C36" s="1" t="s">
        <v>149</v>
      </c>
      <c r="D36" s="1" t="s">
        <v>150</v>
      </c>
      <c r="E36" s="1" t="s">
        <v>31</v>
      </c>
      <c r="F36" s="1" t="s">
        <v>19</v>
      </c>
      <c r="G36" s="1" t="s">
        <v>151</v>
      </c>
      <c r="H36" s="1" t="s">
        <v>76</v>
      </c>
      <c r="I36" s="1">
        <v>28.0</v>
      </c>
      <c r="J36" s="1">
        <v>32748.0</v>
      </c>
      <c r="K36" s="1">
        <v>12350.0</v>
      </c>
      <c r="L36" s="1">
        <v>11500.0</v>
      </c>
      <c r="M36" s="4">
        <v>42032.0625</v>
      </c>
      <c r="N36" s="1">
        <v>11500.0</v>
      </c>
    </row>
    <row r="37">
      <c r="A37" s="1">
        <v>2008.0</v>
      </c>
      <c r="B37" s="1" t="s">
        <v>152</v>
      </c>
      <c r="C37" s="1" t="s">
        <v>153</v>
      </c>
      <c r="D37" s="1">
        <v>3.2</v>
      </c>
      <c r="E37" s="1" t="s">
        <v>31</v>
      </c>
      <c r="F37" s="1" t="s">
        <v>19</v>
      </c>
      <c r="G37" s="1" t="s">
        <v>154</v>
      </c>
      <c r="H37" s="1" t="s">
        <v>94</v>
      </c>
      <c r="I37" s="1">
        <v>46.0</v>
      </c>
      <c r="J37" s="1">
        <v>90954.0</v>
      </c>
      <c r="K37" s="1">
        <v>7600.0</v>
      </c>
      <c r="L37" s="1">
        <v>8700.0</v>
      </c>
      <c r="M37" s="4">
        <v>42018.270833333336</v>
      </c>
      <c r="N37" s="1">
        <v>8700.0</v>
      </c>
    </row>
    <row r="38">
      <c r="A38" s="1">
        <v>2007.0</v>
      </c>
      <c r="B38" s="1" t="s">
        <v>72</v>
      </c>
      <c r="C38" s="1" t="s">
        <v>155</v>
      </c>
      <c r="D38" s="1" t="s">
        <v>156</v>
      </c>
      <c r="E38" s="1" t="s">
        <v>157</v>
      </c>
      <c r="F38" s="1" t="s">
        <v>19</v>
      </c>
      <c r="G38" s="1" t="s">
        <v>158</v>
      </c>
      <c r="H38" s="1" t="s">
        <v>51</v>
      </c>
      <c r="I38" s="1">
        <v>23.0</v>
      </c>
      <c r="J38" s="1">
        <v>75830.0</v>
      </c>
      <c r="K38" s="1">
        <v>11400.0</v>
      </c>
      <c r="L38" s="1">
        <v>11300.0</v>
      </c>
      <c r="M38" s="4">
        <v>42018.197916666664</v>
      </c>
      <c r="N38" s="1">
        <v>11300.0</v>
      </c>
    </row>
    <row r="39">
      <c r="A39" s="1">
        <v>2014.0</v>
      </c>
      <c r="B39" s="1" t="s">
        <v>95</v>
      </c>
      <c r="C39" s="1" t="s">
        <v>159</v>
      </c>
      <c r="D39" s="1" t="s">
        <v>92</v>
      </c>
      <c r="E39" s="1" t="s">
        <v>25</v>
      </c>
      <c r="F39" s="1" t="s">
        <v>19</v>
      </c>
      <c r="G39" s="1" t="s">
        <v>160</v>
      </c>
      <c r="H39" s="1" t="s">
        <v>21</v>
      </c>
      <c r="I39" s="1">
        <v>5.0</v>
      </c>
      <c r="J39" s="1">
        <v>14402.0</v>
      </c>
      <c r="K39" s="1">
        <v>28800.0</v>
      </c>
      <c r="L39" s="1">
        <v>28300.0</v>
      </c>
      <c r="M39" s="4">
        <v>42023.1875</v>
      </c>
      <c r="N39" s="1">
        <v>28300.0</v>
      </c>
    </row>
    <row r="40">
      <c r="A40" s="1">
        <v>2007.0</v>
      </c>
      <c r="B40" s="1" t="s">
        <v>72</v>
      </c>
      <c r="C40" s="1" t="s">
        <v>161</v>
      </c>
      <c r="D40" s="1" t="s">
        <v>162</v>
      </c>
      <c r="E40" s="1" t="s">
        <v>31</v>
      </c>
      <c r="F40" s="1" t="s">
        <v>19</v>
      </c>
      <c r="G40" s="1" t="s">
        <v>163</v>
      </c>
      <c r="H40" s="1" t="s">
        <v>51</v>
      </c>
      <c r="I40" s="1">
        <v>34.0</v>
      </c>
      <c r="J40" s="1">
        <v>75207.0</v>
      </c>
      <c r="K40" s="1">
        <v>10800.0</v>
      </c>
      <c r="L40" s="1">
        <v>10500.0</v>
      </c>
      <c r="M40" s="4">
        <v>42019.1875</v>
      </c>
      <c r="N40" s="1">
        <v>10500.0</v>
      </c>
    </row>
    <row r="41">
      <c r="A41" s="1">
        <v>2007.0</v>
      </c>
      <c r="B41" s="1" t="s">
        <v>164</v>
      </c>
      <c r="C41" s="1" t="s">
        <v>165</v>
      </c>
      <c r="D41" s="1" t="s">
        <v>61</v>
      </c>
      <c r="E41" s="1" t="s">
        <v>25</v>
      </c>
      <c r="F41" s="1" t="s">
        <v>19</v>
      </c>
      <c r="G41" s="1" t="s">
        <v>166</v>
      </c>
      <c r="H41" s="1" t="s">
        <v>167</v>
      </c>
      <c r="I41" s="1">
        <v>4.0</v>
      </c>
      <c r="J41" s="1">
        <v>121456.0</v>
      </c>
      <c r="K41" s="1">
        <v>16700.0</v>
      </c>
      <c r="L41" s="1">
        <v>18700.0</v>
      </c>
      <c r="M41" s="4">
        <v>42018.104166666664</v>
      </c>
      <c r="N41" s="1">
        <v>18700.0</v>
      </c>
    </row>
    <row r="42">
      <c r="A42" s="1">
        <v>2007.0</v>
      </c>
      <c r="B42" s="1" t="s">
        <v>82</v>
      </c>
      <c r="C42" s="1" t="s">
        <v>168</v>
      </c>
      <c r="D42" s="1">
        <v>1500.0</v>
      </c>
      <c r="E42" s="1" t="s">
        <v>18</v>
      </c>
      <c r="F42" s="1" t="s">
        <v>19</v>
      </c>
      <c r="G42" s="1" t="s">
        <v>169</v>
      </c>
      <c r="H42" s="1" t="s">
        <v>21</v>
      </c>
      <c r="I42" s="1">
        <v>19.0</v>
      </c>
      <c r="J42" s="1">
        <v>184348.0</v>
      </c>
      <c r="K42" s="1">
        <v>4725.0</v>
      </c>
      <c r="L42" s="1">
        <v>3000.0</v>
      </c>
      <c r="M42" s="4">
        <v>42020.05902777778</v>
      </c>
      <c r="N42" s="1">
        <v>3000.0</v>
      </c>
    </row>
    <row r="43">
      <c r="A43" s="1">
        <v>2007.0</v>
      </c>
      <c r="B43" s="1" t="s">
        <v>82</v>
      </c>
      <c r="C43" s="1" t="s">
        <v>87</v>
      </c>
      <c r="D43" s="1" t="s">
        <v>84</v>
      </c>
      <c r="E43" s="1" t="s">
        <v>31</v>
      </c>
      <c r="F43" s="1" t="s">
        <v>19</v>
      </c>
      <c r="G43" s="1" t="s">
        <v>170</v>
      </c>
      <c r="H43" s="1" t="s">
        <v>94</v>
      </c>
      <c r="I43" s="1">
        <v>19.0</v>
      </c>
      <c r="J43" s="1">
        <v>207728.0</v>
      </c>
      <c r="K43" s="1">
        <v>1475.0</v>
      </c>
      <c r="L43" s="1">
        <v>2400.0</v>
      </c>
      <c r="M43" s="4">
        <v>42023.041666666664</v>
      </c>
      <c r="N43" s="1">
        <v>2400.0</v>
      </c>
    </row>
    <row r="44">
      <c r="A44" s="1">
        <v>2007.0</v>
      </c>
      <c r="B44" s="1" t="s">
        <v>82</v>
      </c>
      <c r="C44" s="1" t="s">
        <v>87</v>
      </c>
      <c r="D44" s="1" t="s">
        <v>84</v>
      </c>
      <c r="E44" s="1" t="s">
        <v>31</v>
      </c>
      <c r="F44" s="1" t="s">
        <v>19</v>
      </c>
      <c r="G44" s="1" t="s">
        <v>171</v>
      </c>
      <c r="H44" s="1" t="s">
        <v>172</v>
      </c>
      <c r="I44" s="1">
        <v>34.0</v>
      </c>
      <c r="J44" s="1">
        <v>117844.0</v>
      </c>
      <c r="K44" s="1">
        <v>4225.0</v>
      </c>
      <c r="L44" s="1">
        <v>4100.0</v>
      </c>
      <c r="M44" s="4">
        <v>42019.125</v>
      </c>
      <c r="N44" s="1">
        <v>4100.0</v>
      </c>
    </row>
    <row r="45">
      <c r="A45" s="1">
        <v>2007.0</v>
      </c>
      <c r="B45" s="1" t="s">
        <v>90</v>
      </c>
      <c r="C45" s="1" t="s">
        <v>173</v>
      </c>
      <c r="D45" s="1" t="s">
        <v>174</v>
      </c>
      <c r="E45" s="1" t="s">
        <v>175</v>
      </c>
      <c r="G45" s="1" t="s">
        <v>176</v>
      </c>
      <c r="H45" s="1" t="s">
        <v>177</v>
      </c>
      <c r="I45" s="1">
        <v>31.0</v>
      </c>
      <c r="J45" s="1">
        <v>83124.0</v>
      </c>
      <c r="K45" s="1">
        <v>3350.0</v>
      </c>
      <c r="L45" s="1">
        <v>2200.0</v>
      </c>
      <c r="M45" s="4">
        <v>42018.104166666664</v>
      </c>
      <c r="N45" s="1">
        <v>2200.0</v>
      </c>
    </row>
    <row r="46">
      <c r="A46" s="1">
        <v>2007.0</v>
      </c>
      <c r="B46" s="1" t="s">
        <v>95</v>
      </c>
      <c r="C46" s="1" t="s">
        <v>178</v>
      </c>
      <c r="D46" s="1" t="s">
        <v>125</v>
      </c>
      <c r="E46" s="1" t="s">
        <v>179</v>
      </c>
      <c r="F46" s="1" t="s">
        <v>19</v>
      </c>
      <c r="G46" s="1" t="s">
        <v>180</v>
      </c>
      <c r="H46" s="1" t="s">
        <v>181</v>
      </c>
      <c r="I46" s="1">
        <v>1.0</v>
      </c>
      <c r="J46" s="1">
        <v>93738.0</v>
      </c>
      <c r="K46" s="1">
        <v>3775.0</v>
      </c>
      <c r="L46" s="1">
        <v>1300.0</v>
      </c>
      <c r="M46" s="4">
        <v>42019.1875</v>
      </c>
      <c r="N46" s="1">
        <v>1300.0</v>
      </c>
    </row>
    <row r="47">
      <c r="A47" s="1">
        <v>2007.0</v>
      </c>
      <c r="B47" s="1" t="s">
        <v>15</v>
      </c>
      <c r="C47" s="1" t="s">
        <v>182</v>
      </c>
      <c r="D47" s="1" t="s">
        <v>97</v>
      </c>
      <c r="E47" s="1" t="s">
        <v>25</v>
      </c>
      <c r="F47" s="1" t="s">
        <v>19</v>
      </c>
      <c r="G47" s="1" t="s">
        <v>183</v>
      </c>
      <c r="H47" s="1" t="s">
        <v>27</v>
      </c>
      <c r="I47" s="1">
        <v>39.0</v>
      </c>
      <c r="J47" s="1">
        <v>99034.0</v>
      </c>
      <c r="K47" s="1">
        <v>7200.0</v>
      </c>
      <c r="L47" s="1">
        <v>9000.0</v>
      </c>
      <c r="M47" s="4">
        <v>42018.083333333336</v>
      </c>
      <c r="N47" s="1">
        <v>9000.0</v>
      </c>
    </row>
    <row r="48">
      <c r="A48" s="1">
        <v>2007.0</v>
      </c>
      <c r="B48" s="1" t="s">
        <v>15</v>
      </c>
      <c r="C48" s="1" t="s">
        <v>101</v>
      </c>
      <c r="D48" s="1" t="s">
        <v>184</v>
      </c>
      <c r="E48" s="1" t="s">
        <v>185</v>
      </c>
      <c r="F48" s="1" t="s">
        <v>19</v>
      </c>
      <c r="G48" s="1" t="s">
        <v>186</v>
      </c>
      <c r="H48" s="1" t="s">
        <v>94</v>
      </c>
      <c r="I48" s="1">
        <v>35.0</v>
      </c>
      <c r="J48" s="1">
        <v>152878.0</v>
      </c>
      <c r="K48" s="1">
        <v>6175.0</v>
      </c>
      <c r="L48" s="1">
        <v>7000.0</v>
      </c>
      <c r="M48" s="4">
        <v>42030.041666666664</v>
      </c>
      <c r="N48" s="1">
        <v>7000.0</v>
      </c>
    </row>
    <row r="49">
      <c r="A49" s="1">
        <v>2014.0</v>
      </c>
      <c r="B49" s="1" t="s">
        <v>95</v>
      </c>
      <c r="C49" s="1" t="s">
        <v>187</v>
      </c>
      <c r="D49" s="1" t="s">
        <v>125</v>
      </c>
      <c r="E49" s="1" t="s">
        <v>188</v>
      </c>
      <c r="F49" s="1" t="s">
        <v>19</v>
      </c>
      <c r="G49" s="1" t="s">
        <v>189</v>
      </c>
      <c r="H49" s="1" t="s">
        <v>21</v>
      </c>
      <c r="I49" s="1">
        <v>4.0</v>
      </c>
      <c r="J49" s="1">
        <v>19982.0</v>
      </c>
      <c r="K49" s="1">
        <v>16900.0</v>
      </c>
      <c r="L49" s="1">
        <v>17500.0</v>
      </c>
      <c r="M49" s="4">
        <v>42023.1875</v>
      </c>
      <c r="N49" s="1">
        <v>17500.0</v>
      </c>
    </row>
    <row r="50">
      <c r="A50" s="1">
        <v>2007.0</v>
      </c>
      <c r="B50" s="1" t="s">
        <v>22</v>
      </c>
      <c r="C50" s="1" t="s">
        <v>190</v>
      </c>
      <c r="D50" s="1" t="s">
        <v>191</v>
      </c>
      <c r="E50" s="1" t="s">
        <v>25</v>
      </c>
      <c r="F50" s="1" t="s">
        <v>19</v>
      </c>
      <c r="G50" s="1" t="s">
        <v>192</v>
      </c>
      <c r="H50" s="1" t="s">
        <v>177</v>
      </c>
      <c r="I50" s="1">
        <v>39.0</v>
      </c>
      <c r="J50" s="1">
        <v>71094.0</v>
      </c>
      <c r="K50" s="1">
        <v>12550.0</v>
      </c>
      <c r="L50" s="1">
        <v>12800.0</v>
      </c>
      <c r="M50" s="4">
        <v>42018.104166666664</v>
      </c>
      <c r="N50" s="1">
        <v>12800.0</v>
      </c>
    </row>
    <row r="51">
      <c r="A51" s="1">
        <v>2007.0</v>
      </c>
      <c r="B51" s="1" t="s">
        <v>15</v>
      </c>
      <c r="C51" s="1" t="s">
        <v>193</v>
      </c>
      <c r="D51" s="1" t="s">
        <v>184</v>
      </c>
      <c r="E51" s="1" t="s">
        <v>185</v>
      </c>
      <c r="F51" s="1" t="s">
        <v>19</v>
      </c>
      <c r="G51" s="1" t="s">
        <v>194</v>
      </c>
      <c r="H51" s="1" t="s">
        <v>94</v>
      </c>
      <c r="I51" s="1">
        <v>19.0</v>
      </c>
      <c r="J51" s="1">
        <v>162222.0</v>
      </c>
      <c r="K51" s="1">
        <v>3750.0</v>
      </c>
      <c r="L51" s="1">
        <v>3900.0</v>
      </c>
      <c r="M51" s="4">
        <v>42023.0625</v>
      </c>
      <c r="N51" s="1">
        <v>3900.0</v>
      </c>
    </row>
    <row r="52">
      <c r="A52" s="1">
        <v>2007.0</v>
      </c>
      <c r="B52" s="1" t="s">
        <v>22</v>
      </c>
      <c r="C52" s="1" t="s">
        <v>23</v>
      </c>
      <c r="D52" s="1" t="s">
        <v>195</v>
      </c>
      <c r="E52" s="1" t="s">
        <v>25</v>
      </c>
      <c r="F52" s="1" t="s">
        <v>19</v>
      </c>
      <c r="G52" s="1" t="s">
        <v>196</v>
      </c>
      <c r="H52" s="1" t="s">
        <v>27</v>
      </c>
      <c r="I52" s="1">
        <v>24.0</v>
      </c>
      <c r="J52" s="1">
        <v>112311.0</v>
      </c>
      <c r="K52" s="1">
        <v>15400.0</v>
      </c>
      <c r="L52" s="1">
        <v>11400.0</v>
      </c>
      <c r="M52" s="4">
        <v>42018.083333333336</v>
      </c>
      <c r="N52" s="1">
        <v>11400.0</v>
      </c>
    </row>
    <row r="53">
      <c r="A53" s="1">
        <v>2007.0</v>
      </c>
      <c r="B53" s="1" t="s">
        <v>28</v>
      </c>
      <c r="C53" s="1" t="s">
        <v>197</v>
      </c>
      <c r="D53" s="1" t="s">
        <v>30</v>
      </c>
      <c r="E53" s="1" t="s">
        <v>25</v>
      </c>
      <c r="F53" s="1" t="s">
        <v>19</v>
      </c>
      <c r="G53" s="1" t="s">
        <v>198</v>
      </c>
      <c r="H53" s="1" t="s">
        <v>21</v>
      </c>
      <c r="I53" s="1">
        <v>35.0</v>
      </c>
      <c r="J53" s="1">
        <v>75863.0</v>
      </c>
      <c r="K53" s="1">
        <v>8925.0</v>
      </c>
      <c r="L53" s="1">
        <v>8100.0</v>
      </c>
      <c r="M53" s="4">
        <v>42019.07638888889</v>
      </c>
      <c r="N53" s="1">
        <v>8100.0</v>
      </c>
    </row>
    <row r="54">
      <c r="A54" s="1">
        <v>2007.0</v>
      </c>
      <c r="B54" s="1" t="s">
        <v>28</v>
      </c>
      <c r="C54" s="1" t="s">
        <v>197</v>
      </c>
      <c r="D54" s="1" t="s">
        <v>199</v>
      </c>
      <c r="E54" s="1" t="s">
        <v>25</v>
      </c>
      <c r="F54" s="1" t="s">
        <v>19</v>
      </c>
      <c r="G54" s="1" t="s">
        <v>200</v>
      </c>
      <c r="H54" s="1" t="s">
        <v>76</v>
      </c>
      <c r="I54" s="1">
        <v>18.0</v>
      </c>
      <c r="J54" s="1">
        <v>75297.0</v>
      </c>
      <c r="K54" s="1">
        <v>11300.0</v>
      </c>
      <c r="L54" s="1">
        <v>9500.0</v>
      </c>
      <c r="M54" s="4">
        <v>42032.0625</v>
      </c>
      <c r="N54" s="1">
        <v>9500.0</v>
      </c>
    </row>
    <row r="55">
      <c r="A55" s="1">
        <v>2007.0</v>
      </c>
      <c r="B55" s="1" t="s">
        <v>33</v>
      </c>
      <c r="C55" s="1" t="s">
        <v>201</v>
      </c>
      <c r="D55" s="1" t="s">
        <v>97</v>
      </c>
      <c r="E55" s="1" t="s">
        <v>25</v>
      </c>
      <c r="F55" s="1" t="s">
        <v>19</v>
      </c>
      <c r="G55" s="1" t="s">
        <v>202</v>
      </c>
      <c r="H55" s="1" t="s">
        <v>76</v>
      </c>
      <c r="I55" s="1">
        <v>19.0</v>
      </c>
      <c r="J55" s="1">
        <v>94181.0</v>
      </c>
      <c r="K55" s="1">
        <v>6900.0</v>
      </c>
      <c r="L55" s="1">
        <v>4400.0</v>
      </c>
      <c r="M55" s="4">
        <v>42032.0625</v>
      </c>
      <c r="N55" s="1">
        <v>4400.0</v>
      </c>
    </row>
    <row r="56">
      <c r="A56" s="1">
        <v>2007.0</v>
      </c>
      <c r="B56" s="1" t="s">
        <v>203</v>
      </c>
      <c r="C56" s="1" t="s">
        <v>204</v>
      </c>
      <c r="D56" s="1" t="s">
        <v>30</v>
      </c>
      <c r="E56" s="1" t="s">
        <v>25</v>
      </c>
      <c r="F56" s="1" t="s">
        <v>19</v>
      </c>
      <c r="G56" s="1" t="s">
        <v>205</v>
      </c>
      <c r="H56" s="1" t="s">
        <v>76</v>
      </c>
      <c r="I56" s="1">
        <v>19.0</v>
      </c>
      <c r="J56" s="1">
        <v>77634.0</v>
      </c>
      <c r="K56" s="1">
        <v>5725.0</v>
      </c>
      <c r="L56" s="1">
        <v>5900.0</v>
      </c>
      <c r="M56" s="4">
        <v>42032.0625</v>
      </c>
      <c r="N56" s="1">
        <v>5900.0</v>
      </c>
    </row>
    <row r="57">
      <c r="A57" s="1">
        <v>2007.0</v>
      </c>
      <c r="B57" s="1" t="s">
        <v>206</v>
      </c>
      <c r="C57" s="1" t="s">
        <v>207</v>
      </c>
      <c r="D57" s="1" t="s">
        <v>208</v>
      </c>
      <c r="E57" s="1" t="s">
        <v>25</v>
      </c>
      <c r="F57" s="1" t="s">
        <v>19</v>
      </c>
      <c r="G57" s="1" t="s">
        <v>209</v>
      </c>
      <c r="H57" s="1" t="s">
        <v>76</v>
      </c>
      <c r="I57" s="1">
        <v>27.0</v>
      </c>
      <c r="J57" s="1">
        <v>81073.0</v>
      </c>
      <c r="K57" s="1">
        <v>7850.0</v>
      </c>
      <c r="L57" s="1">
        <v>9000.0</v>
      </c>
      <c r="M57" s="4">
        <v>42032.0625</v>
      </c>
      <c r="N57" s="1">
        <v>9000.0</v>
      </c>
    </row>
    <row r="58">
      <c r="A58" s="1">
        <v>2007.0</v>
      </c>
      <c r="B58" s="1" t="s">
        <v>47</v>
      </c>
      <c r="C58" s="1" t="s">
        <v>132</v>
      </c>
      <c r="D58" s="1" t="s">
        <v>133</v>
      </c>
      <c r="E58" s="1" t="s">
        <v>31</v>
      </c>
      <c r="G58" s="1" t="s">
        <v>210</v>
      </c>
      <c r="H58" s="1" t="s">
        <v>41</v>
      </c>
      <c r="I58" s="1">
        <v>36.0</v>
      </c>
      <c r="J58" s="1">
        <v>36430.0</v>
      </c>
      <c r="K58" s="1">
        <v>12150.0</v>
      </c>
      <c r="L58" s="1">
        <v>15800.0</v>
      </c>
      <c r="M58" s="3">
        <v>42041.041666666664</v>
      </c>
      <c r="N58" s="1">
        <v>15800.0</v>
      </c>
    </row>
    <row r="59">
      <c r="A59" s="1">
        <v>2007.0</v>
      </c>
      <c r="B59" s="1" t="s">
        <v>52</v>
      </c>
      <c r="C59" s="1" t="s">
        <v>211</v>
      </c>
      <c r="D59" s="1" t="s">
        <v>212</v>
      </c>
      <c r="E59" s="1" t="s">
        <v>31</v>
      </c>
      <c r="F59" s="1" t="s">
        <v>19</v>
      </c>
      <c r="G59" s="1" t="s">
        <v>213</v>
      </c>
      <c r="H59" s="1" t="s">
        <v>76</v>
      </c>
      <c r="I59" s="1">
        <v>19.0</v>
      </c>
      <c r="J59" s="1">
        <v>57211.0</v>
      </c>
      <c r="K59" s="1">
        <v>7225.0</v>
      </c>
      <c r="L59" s="1">
        <v>4800.0</v>
      </c>
      <c r="M59" s="4">
        <v>42032.0625</v>
      </c>
      <c r="N59" s="1">
        <v>4800.0</v>
      </c>
    </row>
    <row r="60">
      <c r="A60" s="1">
        <v>2007.0</v>
      </c>
      <c r="B60" s="1" t="s">
        <v>52</v>
      </c>
      <c r="C60" s="1" t="s">
        <v>214</v>
      </c>
      <c r="D60" s="1" t="s">
        <v>215</v>
      </c>
      <c r="E60" s="1" t="s">
        <v>31</v>
      </c>
      <c r="F60" s="1" t="s">
        <v>19</v>
      </c>
      <c r="G60" s="1" t="s">
        <v>216</v>
      </c>
      <c r="H60" s="1" t="s">
        <v>76</v>
      </c>
      <c r="I60" s="1">
        <v>25.0</v>
      </c>
      <c r="J60" s="1">
        <v>147124.0</v>
      </c>
      <c r="K60" s="1">
        <v>4275.0</v>
      </c>
      <c r="L60" s="1">
        <v>3900.0</v>
      </c>
      <c r="M60" s="4">
        <v>42032.0625</v>
      </c>
      <c r="N60" s="1">
        <v>3900.0</v>
      </c>
    </row>
    <row r="61">
      <c r="A61" s="1">
        <v>2007.0</v>
      </c>
      <c r="B61" s="1" t="s">
        <v>145</v>
      </c>
      <c r="C61" s="1" t="s">
        <v>217</v>
      </c>
      <c r="D61" s="1">
        <v>2.0</v>
      </c>
      <c r="E61" s="1" t="s">
        <v>31</v>
      </c>
      <c r="F61" s="1" t="s">
        <v>19</v>
      </c>
      <c r="G61" s="1" t="s">
        <v>218</v>
      </c>
      <c r="H61" s="1" t="s">
        <v>219</v>
      </c>
      <c r="I61" s="1">
        <v>19.0</v>
      </c>
      <c r="J61" s="1">
        <v>117311.0</v>
      </c>
      <c r="K61" s="1">
        <v>2525.0</v>
      </c>
      <c r="L61" s="1">
        <v>1700.0</v>
      </c>
      <c r="M61" s="4">
        <v>42019.0625</v>
      </c>
      <c r="N61" s="1">
        <v>1700.0</v>
      </c>
    </row>
    <row r="62">
      <c r="A62" s="1">
        <v>2007.0</v>
      </c>
      <c r="B62" s="1" t="s">
        <v>59</v>
      </c>
      <c r="C62" s="1" t="s">
        <v>220</v>
      </c>
      <c r="D62" s="1" t="s">
        <v>221</v>
      </c>
      <c r="E62" s="1" t="s">
        <v>31</v>
      </c>
      <c r="F62" s="1" t="s">
        <v>19</v>
      </c>
      <c r="G62" s="1" t="s">
        <v>222</v>
      </c>
      <c r="H62" s="1" t="s">
        <v>27</v>
      </c>
      <c r="I62" s="1">
        <v>41.0</v>
      </c>
      <c r="J62" s="1">
        <v>110248.0</v>
      </c>
      <c r="K62" s="1">
        <v>6925.0</v>
      </c>
      <c r="L62" s="1">
        <v>5900.0</v>
      </c>
      <c r="M62" s="4">
        <v>42018.083333333336</v>
      </c>
      <c r="N62" s="1">
        <v>5900.0</v>
      </c>
    </row>
    <row r="63">
      <c r="A63" s="1">
        <v>2007.0</v>
      </c>
      <c r="B63" s="1" t="s">
        <v>223</v>
      </c>
      <c r="C63" s="1" t="s">
        <v>224</v>
      </c>
      <c r="D63" s="1" t="s">
        <v>225</v>
      </c>
      <c r="E63" s="1" t="s">
        <v>31</v>
      </c>
      <c r="F63" s="1" t="s">
        <v>19</v>
      </c>
      <c r="G63" s="1" t="s">
        <v>226</v>
      </c>
      <c r="H63" s="1" t="s">
        <v>51</v>
      </c>
      <c r="I63" s="1">
        <v>22.0</v>
      </c>
      <c r="J63" s="1">
        <v>113357.0</v>
      </c>
      <c r="K63" s="1">
        <v>3725.0</v>
      </c>
      <c r="L63" s="1">
        <v>2600.0</v>
      </c>
      <c r="M63" s="3">
        <v>42039.177083333336</v>
      </c>
      <c r="N63" s="1">
        <v>2600.0</v>
      </c>
    </row>
    <row r="64">
      <c r="A64" s="1">
        <v>2006.0</v>
      </c>
      <c r="B64" s="1" t="s">
        <v>72</v>
      </c>
      <c r="C64" s="1" t="s">
        <v>155</v>
      </c>
      <c r="D64" s="1" t="s">
        <v>227</v>
      </c>
      <c r="E64" s="1" t="s">
        <v>31</v>
      </c>
      <c r="F64" s="1" t="s">
        <v>19</v>
      </c>
      <c r="G64" s="1" t="s">
        <v>228</v>
      </c>
      <c r="H64" s="1" t="s">
        <v>51</v>
      </c>
      <c r="I64" s="1">
        <v>24.0</v>
      </c>
      <c r="J64" s="1">
        <v>128912.0</v>
      </c>
      <c r="K64" s="1">
        <v>6025.0</v>
      </c>
      <c r="L64" s="1">
        <v>5900.0</v>
      </c>
      <c r="M64" s="4">
        <v>42061.1875</v>
      </c>
      <c r="N64" s="1">
        <v>5900.0</v>
      </c>
    </row>
    <row r="65">
      <c r="A65" s="1">
        <v>2006.0</v>
      </c>
      <c r="B65" s="1" t="s">
        <v>72</v>
      </c>
      <c r="C65" s="1" t="s">
        <v>155</v>
      </c>
      <c r="D65" s="1" t="s">
        <v>229</v>
      </c>
      <c r="E65" s="1" t="s">
        <v>31</v>
      </c>
      <c r="F65" s="1" t="s">
        <v>19</v>
      </c>
      <c r="G65" s="1" t="s">
        <v>230</v>
      </c>
      <c r="H65" s="1" t="s">
        <v>76</v>
      </c>
      <c r="I65" s="1">
        <v>31.0</v>
      </c>
      <c r="J65" s="1">
        <v>91503.0</v>
      </c>
      <c r="K65" s="1">
        <v>8425.0</v>
      </c>
      <c r="L65" s="1">
        <v>9300.0</v>
      </c>
      <c r="M65" s="4">
        <v>42019.07638888889</v>
      </c>
      <c r="N65" s="1">
        <v>9300.0</v>
      </c>
    </row>
    <row r="66">
      <c r="A66" s="1">
        <v>2006.0</v>
      </c>
      <c r="B66" s="1" t="s">
        <v>72</v>
      </c>
      <c r="C66" s="1" t="s">
        <v>73</v>
      </c>
      <c r="D66" s="1" t="s">
        <v>74</v>
      </c>
      <c r="E66" s="1" t="s">
        <v>31</v>
      </c>
      <c r="F66" s="1" t="s">
        <v>19</v>
      </c>
      <c r="G66" s="1" t="s">
        <v>231</v>
      </c>
      <c r="H66" s="1" t="s">
        <v>76</v>
      </c>
      <c r="I66" s="1">
        <v>21.0</v>
      </c>
      <c r="J66" s="1">
        <v>121363.0</v>
      </c>
      <c r="K66" s="1">
        <v>7900.0</v>
      </c>
      <c r="L66" s="1">
        <v>8500.0</v>
      </c>
      <c r="M66" s="4">
        <v>42032.0625</v>
      </c>
      <c r="N66" s="1">
        <v>8500.0</v>
      </c>
    </row>
    <row r="67">
      <c r="A67" s="1">
        <v>2006.0</v>
      </c>
      <c r="B67" s="1" t="s">
        <v>164</v>
      </c>
      <c r="C67" s="1" t="s">
        <v>232</v>
      </c>
      <c r="D67" s="1" t="s">
        <v>233</v>
      </c>
      <c r="E67" s="1" t="s">
        <v>31</v>
      </c>
      <c r="F67" s="1" t="s">
        <v>19</v>
      </c>
      <c r="G67" s="1" t="s">
        <v>234</v>
      </c>
      <c r="H67" s="1" t="s">
        <v>81</v>
      </c>
      <c r="I67" s="1">
        <v>1.0</v>
      </c>
      <c r="J67" s="1">
        <v>102086.0</v>
      </c>
      <c r="K67" s="1">
        <v>5600.0</v>
      </c>
      <c r="L67" s="1">
        <v>2000.0</v>
      </c>
      <c r="M67" s="4">
        <v>42018.166666666664</v>
      </c>
      <c r="N67" s="1">
        <v>2000.0</v>
      </c>
    </row>
    <row r="68">
      <c r="A68" s="1">
        <v>2006.0</v>
      </c>
      <c r="B68" s="1" t="s">
        <v>82</v>
      </c>
      <c r="C68" s="1" t="s">
        <v>235</v>
      </c>
      <c r="D68" s="1" t="s">
        <v>108</v>
      </c>
      <c r="E68" s="1" t="s">
        <v>236</v>
      </c>
      <c r="F68" s="1" t="s">
        <v>19</v>
      </c>
      <c r="G68" s="1" t="s">
        <v>237</v>
      </c>
      <c r="H68" s="1" t="s">
        <v>131</v>
      </c>
      <c r="I68" s="1">
        <v>2.0</v>
      </c>
      <c r="J68" s="1">
        <v>151425.0</v>
      </c>
      <c r="K68" s="1">
        <v>6650.0</v>
      </c>
      <c r="L68" s="1">
        <v>2100.0</v>
      </c>
      <c r="M68" s="4">
        <v>42018.041666666664</v>
      </c>
      <c r="N68" s="1">
        <v>2100.0</v>
      </c>
    </row>
    <row r="69">
      <c r="A69" s="1">
        <v>2014.0</v>
      </c>
      <c r="B69" s="1" t="s">
        <v>95</v>
      </c>
      <c r="C69" s="1" t="s">
        <v>187</v>
      </c>
      <c r="D69" s="1" t="s">
        <v>125</v>
      </c>
      <c r="E69" s="1" t="s">
        <v>188</v>
      </c>
      <c r="F69" s="1" t="s">
        <v>19</v>
      </c>
      <c r="G69" s="1" t="s">
        <v>238</v>
      </c>
      <c r="H69" s="1" t="s">
        <v>21</v>
      </c>
      <c r="I69" s="1">
        <v>43.0</v>
      </c>
      <c r="J69" s="1">
        <v>40519.0</v>
      </c>
      <c r="K69" s="1">
        <v>15850.0</v>
      </c>
      <c r="L69" s="1">
        <v>16300.0</v>
      </c>
      <c r="M69" s="4">
        <v>42027.083333333336</v>
      </c>
      <c r="N69" s="1">
        <v>16300.0</v>
      </c>
    </row>
    <row r="70">
      <c r="A70" s="1">
        <v>2014.0</v>
      </c>
      <c r="B70" s="1" t="s">
        <v>95</v>
      </c>
      <c r="C70" s="1" t="s">
        <v>239</v>
      </c>
      <c r="D70" s="1" t="s">
        <v>125</v>
      </c>
      <c r="E70" s="1" t="s">
        <v>25</v>
      </c>
      <c r="F70" s="1" t="s">
        <v>19</v>
      </c>
      <c r="G70" s="1" t="s">
        <v>240</v>
      </c>
      <c r="H70" s="1" t="s">
        <v>21</v>
      </c>
      <c r="I70" s="1">
        <v>44.0</v>
      </c>
      <c r="J70" s="1">
        <v>18969.0</v>
      </c>
      <c r="K70" s="1">
        <v>15850.0</v>
      </c>
      <c r="L70" s="1">
        <v>15400.0</v>
      </c>
      <c r="M70" s="4">
        <v>42023.1875</v>
      </c>
      <c r="N70" s="1">
        <v>15400.0</v>
      </c>
    </row>
    <row r="71">
      <c r="A71" s="1">
        <v>2006.0</v>
      </c>
      <c r="B71" s="1" t="s">
        <v>90</v>
      </c>
      <c r="C71" s="1">
        <v>300.0</v>
      </c>
      <c r="D71" s="1" t="s">
        <v>174</v>
      </c>
      <c r="E71" s="1" t="s">
        <v>31</v>
      </c>
      <c r="G71" s="1" t="s">
        <v>241</v>
      </c>
      <c r="H71" s="1" t="s">
        <v>41</v>
      </c>
      <c r="I71" s="1">
        <v>29.0</v>
      </c>
      <c r="J71" s="1">
        <v>76596.0</v>
      </c>
      <c r="K71" s="1">
        <v>7700.0</v>
      </c>
      <c r="L71" s="1">
        <v>6600.0</v>
      </c>
      <c r="M71" s="4">
        <v>42020.0625</v>
      </c>
      <c r="N71" s="1">
        <v>6600.0</v>
      </c>
    </row>
    <row r="72">
      <c r="A72" s="1">
        <v>2006.0</v>
      </c>
      <c r="B72" s="1" t="s">
        <v>95</v>
      </c>
      <c r="C72" s="1" t="s">
        <v>159</v>
      </c>
      <c r="D72" s="1" t="s">
        <v>92</v>
      </c>
      <c r="E72" s="1" t="s">
        <v>25</v>
      </c>
      <c r="G72" s="1" t="s">
        <v>242</v>
      </c>
      <c r="H72" s="1" t="s">
        <v>76</v>
      </c>
      <c r="I72" s="1">
        <v>19.0</v>
      </c>
      <c r="J72" s="1">
        <v>146750.0</v>
      </c>
      <c r="K72" s="1">
        <v>3750.0</v>
      </c>
      <c r="L72" s="1">
        <v>2300.0</v>
      </c>
      <c r="M72" s="4">
        <v>42032.0625</v>
      </c>
      <c r="N72" s="1">
        <v>2300.0</v>
      </c>
    </row>
    <row r="73">
      <c r="A73" s="1">
        <v>2006.0</v>
      </c>
      <c r="B73" s="1" t="s">
        <v>15</v>
      </c>
      <c r="C73" s="1" t="s">
        <v>243</v>
      </c>
      <c r="D73" s="1" t="s">
        <v>102</v>
      </c>
      <c r="E73" s="1" t="s">
        <v>25</v>
      </c>
      <c r="F73" s="1" t="s">
        <v>19</v>
      </c>
      <c r="G73" s="1" t="s">
        <v>244</v>
      </c>
      <c r="H73" s="1" t="s">
        <v>219</v>
      </c>
      <c r="I73" s="1">
        <v>33.0</v>
      </c>
      <c r="J73" s="1">
        <v>112668.0</v>
      </c>
      <c r="K73" s="1">
        <v>4325.0</v>
      </c>
      <c r="L73" s="1">
        <v>3700.0</v>
      </c>
      <c r="M73" s="4">
        <v>42019.0625</v>
      </c>
      <c r="N73" s="1">
        <v>3700.0</v>
      </c>
    </row>
    <row r="74">
      <c r="A74" s="1">
        <v>2006.0</v>
      </c>
      <c r="B74" s="1" t="s">
        <v>15</v>
      </c>
      <c r="C74" s="1" t="s">
        <v>101</v>
      </c>
      <c r="D74" s="1" t="s">
        <v>102</v>
      </c>
      <c r="E74" s="1" t="s">
        <v>103</v>
      </c>
      <c r="F74" s="1" t="s">
        <v>19</v>
      </c>
      <c r="G74" s="1" t="s">
        <v>245</v>
      </c>
      <c r="H74" s="1" t="s">
        <v>27</v>
      </c>
      <c r="I74" s="1">
        <v>36.0</v>
      </c>
      <c r="J74" s="1">
        <v>122854.0</v>
      </c>
      <c r="K74" s="1">
        <v>8250.0</v>
      </c>
      <c r="L74" s="1">
        <v>9000.0</v>
      </c>
      <c r="M74" s="4">
        <v>42018.104166666664</v>
      </c>
      <c r="N74" s="1">
        <v>9000.0</v>
      </c>
    </row>
    <row r="75">
      <c r="A75" s="1">
        <v>2006.0</v>
      </c>
      <c r="B75" s="1" t="s">
        <v>15</v>
      </c>
      <c r="C75" s="1" t="s">
        <v>101</v>
      </c>
      <c r="D75" s="1" t="s">
        <v>184</v>
      </c>
      <c r="E75" s="1" t="s">
        <v>109</v>
      </c>
      <c r="F75" s="1" t="s">
        <v>19</v>
      </c>
      <c r="G75" s="1" t="s">
        <v>246</v>
      </c>
      <c r="H75" s="1" t="s">
        <v>94</v>
      </c>
      <c r="I75" s="1">
        <v>28.0</v>
      </c>
      <c r="J75" s="1">
        <v>27754.0</v>
      </c>
      <c r="K75" s="1">
        <v>7925.0</v>
      </c>
      <c r="L75" s="1">
        <v>8300.0</v>
      </c>
      <c r="M75" s="4">
        <v>42023.0625</v>
      </c>
      <c r="N75" s="1">
        <v>8300.0</v>
      </c>
    </row>
    <row r="76">
      <c r="A76" s="1">
        <v>2006.0</v>
      </c>
      <c r="B76" s="1" t="s">
        <v>15</v>
      </c>
      <c r="C76" s="1" t="s">
        <v>105</v>
      </c>
      <c r="D76" s="1" t="s">
        <v>247</v>
      </c>
      <c r="E76" s="1" t="s">
        <v>85</v>
      </c>
      <c r="G76" s="1" t="s">
        <v>248</v>
      </c>
      <c r="H76" s="1" t="s">
        <v>94</v>
      </c>
      <c r="I76" s="1">
        <v>34.0</v>
      </c>
      <c r="J76" s="1">
        <v>146806.0</v>
      </c>
      <c r="K76" s="1">
        <v>13800.0</v>
      </c>
      <c r="L76" s="1">
        <v>15000.0</v>
      </c>
      <c r="M76" s="4">
        <v>42023.041666666664</v>
      </c>
      <c r="N76" s="1">
        <v>15000.0</v>
      </c>
    </row>
    <row r="77">
      <c r="A77" s="1">
        <v>2006.0</v>
      </c>
      <c r="B77" s="1" t="s">
        <v>28</v>
      </c>
      <c r="C77" s="1" t="s">
        <v>197</v>
      </c>
      <c r="D77" s="1" t="s">
        <v>249</v>
      </c>
      <c r="E77" s="1" t="s">
        <v>25</v>
      </c>
      <c r="F77" s="1" t="s">
        <v>19</v>
      </c>
      <c r="G77" s="1" t="s">
        <v>250</v>
      </c>
      <c r="H77" s="1" t="s">
        <v>81</v>
      </c>
      <c r="I77" s="1">
        <v>28.0</v>
      </c>
      <c r="J77" s="1">
        <v>86881.0</v>
      </c>
      <c r="K77" s="1">
        <v>8975.0</v>
      </c>
      <c r="L77" s="1">
        <v>7600.0</v>
      </c>
      <c r="M77" s="4">
        <v>42018.0625</v>
      </c>
      <c r="N77" s="1">
        <v>7600.0</v>
      </c>
    </row>
    <row r="78">
      <c r="A78" s="1">
        <v>2006.0</v>
      </c>
      <c r="B78" s="1" t="s">
        <v>33</v>
      </c>
      <c r="C78" s="1" t="s">
        <v>34</v>
      </c>
      <c r="D78" s="1" t="s">
        <v>30</v>
      </c>
      <c r="E78" s="1" t="s">
        <v>31</v>
      </c>
      <c r="F78" s="1" t="s">
        <v>19</v>
      </c>
      <c r="G78" s="1" t="s">
        <v>251</v>
      </c>
      <c r="H78" s="1" t="s">
        <v>94</v>
      </c>
      <c r="I78" s="1">
        <v>28.0</v>
      </c>
      <c r="J78" s="1">
        <v>92548.0</v>
      </c>
      <c r="K78" s="1">
        <v>4550.0</v>
      </c>
      <c r="L78" s="1">
        <v>6600.0</v>
      </c>
      <c r="M78" s="4">
        <v>42023.041666666664</v>
      </c>
      <c r="N78" s="1">
        <v>6600.0</v>
      </c>
    </row>
    <row r="79">
      <c r="A79" s="1">
        <v>2006.0</v>
      </c>
      <c r="B79" s="1" t="s">
        <v>117</v>
      </c>
      <c r="C79" s="1" t="s">
        <v>252</v>
      </c>
      <c r="D79" s="1" t="s">
        <v>253</v>
      </c>
      <c r="E79" s="1" t="s">
        <v>25</v>
      </c>
      <c r="F79" s="1" t="s">
        <v>19</v>
      </c>
      <c r="G79" s="1" t="s">
        <v>254</v>
      </c>
      <c r="H79" s="1" t="s">
        <v>81</v>
      </c>
      <c r="I79" s="1">
        <v>27.0</v>
      </c>
      <c r="J79" s="1">
        <v>96811.0</v>
      </c>
      <c r="K79" s="1">
        <v>5600.0</v>
      </c>
      <c r="L79" s="1">
        <v>5900.0</v>
      </c>
      <c r="M79" s="4">
        <v>42018.0625</v>
      </c>
      <c r="N79" s="1">
        <v>5900.0</v>
      </c>
    </row>
    <row r="80">
      <c r="A80" s="1">
        <v>2014.0</v>
      </c>
      <c r="B80" s="1" t="s">
        <v>255</v>
      </c>
      <c r="C80" s="1" t="s">
        <v>256</v>
      </c>
      <c r="D80" s="1" t="s">
        <v>257</v>
      </c>
      <c r="E80" s="1" t="s">
        <v>179</v>
      </c>
      <c r="G80" s="1" t="s">
        <v>258</v>
      </c>
      <c r="H80" s="1" t="s">
        <v>51</v>
      </c>
      <c r="I80" s="1">
        <v>1.0</v>
      </c>
      <c r="J80" s="1">
        <v>2529.0</v>
      </c>
      <c r="K80" s="1">
        <v>13100.0</v>
      </c>
      <c r="L80" s="1">
        <v>4600.0</v>
      </c>
      <c r="M80" s="4">
        <v>42018.29861111111</v>
      </c>
      <c r="N80" s="1">
        <v>4600.0</v>
      </c>
    </row>
    <row r="81">
      <c r="A81" s="1">
        <v>2006.0</v>
      </c>
      <c r="B81" s="1" t="s">
        <v>203</v>
      </c>
      <c r="C81" s="1" t="s">
        <v>259</v>
      </c>
      <c r="D81" s="1" t="s">
        <v>260</v>
      </c>
      <c r="E81" s="1" t="s">
        <v>188</v>
      </c>
      <c r="F81" s="1" t="s">
        <v>19</v>
      </c>
      <c r="G81" s="1" t="s">
        <v>261</v>
      </c>
      <c r="H81" s="1" t="s">
        <v>76</v>
      </c>
      <c r="I81" s="1">
        <v>35.0</v>
      </c>
      <c r="J81" s="1">
        <v>104814.0</v>
      </c>
      <c r="K81" s="1">
        <v>3475.0</v>
      </c>
      <c r="L81" s="1">
        <v>5300.0</v>
      </c>
      <c r="M81" s="4">
        <v>42019.06597222222</v>
      </c>
      <c r="N81" s="1">
        <v>5300.0</v>
      </c>
    </row>
    <row r="82">
      <c r="A82" s="1">
        <v>2006.0</v>
      </c>
      <c r="B82" s="1" t="s">
        <v>121</v>
      </c>
      <c r="C82" s="1" t="s">
        <v>262</v>
      </c>
      <c r="D82" s="1" t="s">
        <v>61</v>
      </c>
      <c r="E82" s="1" t="s">
        <v>25</v>
      </c>
      <c r="F82" s="1" t="s">
        <v>19</v>
      </c>
      <c r="G82" s="1" t="s">
        <v>263</v>
      </c>
      <c r="H82" s="1" t="s">
        <v>63</v>
      </c>
      <c r="I82" s="1">
        <v>27.0</v>
      </c>
      <c r="J82" s="1">
        <v>123540.0</v>
      </c>
      <c r="K82" s="1">
        <v>10050.0</v>
      </c>
      <c r="L82" s="1">
        <v>11000.0</v>
      </c>
      <c r="M82" s="4">
        <v>42019.083333333336</v>
      </c>
      <c r="N82" s="1">
        <v>11000.0</v>
      </c>
    </row>
    <row r="83">
      <c r="A83" s="1">
        <v>2006.0</v>
      </c>
      <c r="B83" s="1" t="s">
        <v>264</v>
      </c>
      <c r="C83" s="1" t="s">
        <v>265</v>
      </c>
      <c r="D83" s="1" t="s">
        <v>266</v>
      </c>
      <c r="F83" s="1" t="s">
        <v>19</v>
      </c>
      <c r="G83" s="1" t="s">
        <v>267</v>
      </c>
      <c r="H83" s="1" t="s">
        <v>268</v>
      </c>
      <c r="I83" s="1">
        <v>19.0</v>
      </c>
      <c r="J83" s="1">
        <v>145006.0</v>
      </c>
      <c r="K83" s="1">
        <v>2925.0</v>
      </c>
      <c r="L83" s="1">
        <v>1450.0</v>
      </c>
      <c r="M83" s="4">
        <v>42018.145833333336</v>
      </c>
      <c r="N83" s="1">
        <v>1450.0</v>
      </c>
    </row>
    <row r="84">
      <c r="A84" s="1">
        <v>2006.0</v>
      </c>
      <c r="B84" s="1" t="s">
        <v>269</v>
      </c>
      <c r="C84" s="1" t="s">
        <v>270</v>
      </c>
      <c r="D84" s="1" t="s">
        <v>271</v>
      </c>
      <c r="E84" s="1" t="s">
        <v>31</v>
      </c>
      <c r="F84" s="1" t="s">
        <v>19</v>
      </c>
      <c r="G84" s="1" t="s">
        <v>272</v>
      </c>
      <c r="H84" s="1" t="s">
        <v>94</v>
      </c>
      <c r="I84" s="1">
        <v>29.0</v>
      </c>
      <c r="J84" s="1">
        <v>112115.0</v>
      </c>
      <c r="K84" s="1">
        <v>3450.0</v>
      </c>
      <c r="L84" s="1">
        <v>2200.0</v>
      </c>
      <c r="M84" s="4">
        <v>42023.0625</v>
      </c>
      <c r="N84" s="1">
        <v>2200.0</v>
      </c>
    </row>
    <row r="85">
      <c r="A85" s="1">
        <v>2006.0</v>
      </c>
      <c r="B85" s="1" t="s">
        <v>52</v>
      </c>
      <c r="C85" s="1" t="s">
        <v>273</v>
      </c>
      <c r="D85" s="1" t="s">
        <v>215</v>
      </c>
      <c r="E85" s="1" t="s">
        <v>188</v>
      </c>
      <c r="F85" s="1" t="s">
        <v>19</v>
      </c>
      <c r="G85" s="1" t="s">
        <v>274</v>
      </c>
      <c r="H85" s="1" t="s">
        <v>94</v>
      </c>
      <c r="I85" s="1">
        <v>24.0</v>
      </c>
      <c r="J85" s="1">
        <v>135209.0</v>
      </c>
      <c r="K85" s="1">
        <v>2750.0</v>
      </c>
      <c r="L85" s="1">
        <v>2600.0</v>
      </c>
      <c r="M85" s="4">
        <v>42023.041666666664</v>
      </c>
      <c r="N85" s="1">
        <v>2600.0</v>
      </c>
    </row>
    <row r="86">
      <c r="A86" s="1">
        <v>2006.0</v>
      </c>
      <c r="B86" s="1" t="s">
        <v>275</v>
      </c>
      <c r="C86" s="1" t="s">
        <v>276</v>
      </c>
      <c r="D86" s="1" t="s">
        <v>277</v>
      </c>
      <c r="E86" s="1" t="s">
        <v>31</v>
      </c>
      <c r="F86" s="1" t="s">
        <v>143</v>
      </c>
      <c r="G86" s="1" t="s">
        <v>278</v>
      </c>
      <c r="H86" s="1" t="s">
        <v>81</v>
      </c>
      <c r="I86" s="1">
        <v>1.0</v>
      </c>
      <c r="J86" s="1">
        <v>104902.0</v>
      </c>
      <c r="K86" s="1">
        <v>5875.0</v>
      </c>
      <c r="L86" s="1">
        <v>1900.0</v>
      </c>
      <c r="M86" s="4">
        <v>42018.166666666664</v>
      </c>
      <c r="N86" s="1">
        <v>1900.0</v>
      </c>
    </row>
    <row r="87">
      <c r="A87" s="1">
        <v>2006.0</v>
      </c>
      <c r="B87" s="1" t="s">
        <v>223</v>
      </c>
      <c r="C87" s="1" t="s">
        <v>279</v>
      </c>
      <c r="D87" s="1">
        <v>2.5</v>
      </c>
      <c r="E87" s="1" t="s">
        <v>175</v>
      </c>
      <c r="G87" s="1" t="s">
        <v>280</v>
      </c>
      <c r="H87" s="1" t="s">
        <v>41</v>
      </c>
      <c r="I87" s="1">
        <v>2.0</v>
      </c>
      <c r="J87" s="1">
        <v>119942.0</v>
      </c>
      <c r="K87" s="1">
        <v>3250.0</v>
      </c>
      <c r="L87" s="1">
        <v>2600.0</v>
      </c>
      <c r="M87" s="4">
        <v>42020.0625</v>
      </c>
      <c r="N87" s="1">
        <v>2600.0</v>
      </c>
    </row>
    <row r="88">
      <c r="A88" s="1">
        <v>2005.0</v>
      </c>
      <c r="B88" s="1" t="s">
        <v>64</v>
      </c>
      <c r="C88" s="1" t="s">
        <v>65</v>
      </c>
      <c r="D88" s="1" t="s">
        <v>281</v>
      </c>
      <c r="E88" s="1" t="s">
        <v>31</v>
      </c>
      <c r="F88" s="1" t="s">
        <v>143</v>
      </c>
      <c r="G88" s="1" t="s">
        <v>282</v>
      </c>
      <c r="H88" s="1" t="s">
        <v>51</v>
      </c>
      <c r="I88" s="1">
        <v>25.0</v>
      </c>
      <c r="J88" s="1">
        <v>122926.0</v>
      </c>
      <c r="K88" s="1">
        <v>5175.0</v>
      </c>
      <c r="L88" s="1">
        <v>6000.0</v>
      </c>
      <c r="M88" s="4">
        <v>42019.166666666664</v>
      </c>
      <c r="N88" s="1">
        <v>6000.0</v>
      </c>
    </row>
    <row r="89">
      <c r="A89" s="1">
        <v>2005.0</v>
      </c>
      <c r="B89" s="1" t="s">
        <v>164</v>
      </c>
      <c r="C89" s="1" t="s">
        <v>283</v>
      </c>
      <c r="D89" s="1" t="s">
        <v>61</v>
      </c>
      <c r="E89" s="1" t="s">
        <v>25</v>
      </c>
      <c r="G89" s="1" t="s">
        <v>284</v>
      </c>
      <c r="H89" s="1" t="s">
        <v>94</v>
      </c>
      <c r="I89" s="1">
        <v>34.0</v>
      </c>
      <c r="J89" s="1">
        <v>114846.0</v>
      </c>
      <c r="K89" s="1">
        <v>9175.0</v>
      </c>
      <c r="L89" s="1">
        <v>7700.0</v>
      </c>
      <c r="M89" s="4">
        <v>42018.270833333336</v>
      </c>
      <c r="N89" s="1">
        <v>7700.0</v>
      </c>
    </row>
    <row r="90">
      <c r="A90" s="1">
        <v>2005.0</v>
      </c>
      <c r="B90" s="1" t="s">
        <v>82</v>
      </c>
      <c r="C90" s="1" t="s">
        <v>235</v>
      </c>
      <c r="D90" s="1" t="s">
        <v>108</v>
      </c>
      <c r="E90" s="1" t="s">
        <v>236</v>
      </c>
      <c r="F90" s="1" t="s">
        <v>19</v>
      </c>
      <c r="G90" s="1" t="s">
        <v>285</v>
      </c>
      <c r="H90" s="1" t="s">
        <v>172</v>
      </c>
      <c r="I90" s="1">
        <v>29.0</v>
      </c>
      <c r="J90" s="1">
        <v>86936.0</v>
      </c>
      <c r="K90" s="1">
        <v>3275.0</v>
      </c>
      <c r="L90" s="1">
        <v>11000.0</v>
      </c>
      <c r="M90" s="4">
        <v>42026.145833333336</v>
      </c>
      <c r="N90" s="1">
        <v>11000.0</v>
      </c>
    </row>
    <row r="91">
      <c r="A91" s="1">
        <v>2005.0</v>
      </c>
      <c r="B91" s="1" t="s">
        <v>82</v>
      </c>
      <c r="C91" s="1" t="s">
        <v>286</v>
      </c>
      <c r="D91" s="1" t="s">
        <v>84</v>
      </c>
      <c r="E91" s="1" t="s">
        <v>25</v>
      </c>
      <c r="F91" s="1" t="s">
        <v>19</v>
      </c>
      <c r="G91" s="1" t="s">
        <v>287</v>
      </c>
      <c r="H91" s="1" t="s">
        <v>68</v>
      </c>
      <c r="I91" s="1">
        <v>2.0</v>
      </c>
      <c r="J91" s="1">
        <v>158855.0</v>
      </c>
      <c r="K91" s="1">
        <v>2475.0</v>
      </c>
      <c r="L91" s="1">
        <v>2150.0</v>
      </c>
      <c r="M91" s="4">
        <v>42019.125</v>
      </c>
      <c r="N91" s="1">
        <v>2150.0</v>
      </c>
    </row>
    <row r="92">
      <c r="A92" s="1">
        <v>2005.0</v>
      </c>
      <c r="B92" s="1" t="s">
        <v>95</v>
      </c>
      <c r="C92" s="1" t="s">
        <v>288</v>
      </c>
      <c r="D92" s="1" t="s">
        <v>125</v>
      </c>
      <c r="E92" s="1" t="s">
        <v>31</v>
      </c>
      <c r="F92" s="1" t="s">
        <v>19</v>
      </c>
      <c r="G92" s="1" t="s">
        <v>289</v>
      </c>
      <c r="H92" s="1" t="s">
        <v>167</v>
      </c>
      <c r="I92" s="1">
        <v>19.0</v>
      </c>
      <c r="J92" s="1">
        <v>86819.0</v>
      </c>
      <c r="K92" s="1">
        <v>2125.0</v>
      </c>
      <c r="L92" s="1">
        <v>2000.0</v>
      </c>
      <c r="M92" s="4">
        <v>42018.104166666664</v>
      </c>
      <c r="N92" s="1">
        <v>2000.0</v>
      </c>
    </row>
    <row r="93">
      <c r="A93" s="1">
        <v>2005.0</v>
      </c>
      <c r="B93" s="1" t="s">
        <v>15</v>
      </c>
      <c r="C93" s="1" t="s">
        <v>243</v>
      </c>
      <c r="D93" s="1" t="s">
        <v>102</v>
      </c>
      <c r="E93" s="1" t="s">
        <v>25</v>
      </c>
      <c r="G93" s="1" t="s">
        <v>290</v>
      </c>
      <c r="H93" s="1" t="s">
        <v>51</v>
      </c>
      <c r="I93" s="1">
        <v>27.0</v>
      </c>
      <c r="J93" s="1">
        <v>92333.0</v>
      </c>
      <c r="K93" s="1">
        <v>3875.0</v>
      </c>
      <c r="L93" s="1">
        <v>3750.0</v>
      </c>
      <c r="M93" s="4">
        <v>42019.1875</v>
      </c>
      <c r="N93" s="1">
        <v>3750.0</v>
      </c>
    </row>
    <row r="94">
      <c r="A94" s="1">
        <v>2005.0</v>
      </c>
      <c r="B94" s="1" t="s">
        <v>15</v>
      </c>
      <c r="C94" s="1" t="s">
        <v>101</v>
      </c>
      <c r="D94" s="1" t="s">
        <v>291</v>
      </c>
      <c r="E94" s="1" t="s">
        <v>103</v>
      </c>
      <c r="F94" s="1" t="s">
        <v>19</v>
      </c>
      <c r="G94" s="1" t="s">
        <v>292</v>
      </c>
      <c r="H94" s="1" t="s">
        <v>51</v>
      </c>
      <c r="I94" s="1">
        <v>44.0</v>
      </c>
      <c r="J94" s="1">
        <v>115622.0</v>
      </c>
      <c r="K94" s="1">
        <v>10500.0</v>
      </c>
      <c r="L94" s="1">
        <v>12600.0</v>
      </c>
      <c r="M94" s="4">
        <v>42018.1875</v>
      </c>
      <c r="N94" s="1">
        <v>12600.0</v>
      </c>
    </row>
    <row r="95">
      <c r="A95" s="1">
        <v>2005.0</v>
      </c>
      <c r="B95" s="1" t="s">
        <v>15</v>
      </c>
      <c r="C95" s="1" t="s">
        <v>293</v>
      </c>
      <c r="D95" s="1" t="s">
        <v>294</v>
      </c>
      <c r="E95" s="1" t="s">
        <v>157</v>
      </c>
      <c r="F95" s="1" t="s">
        <v>19</v>
      </c>
      <c r="G95" s="1" t="s">
        <v>295</v>
      </c>
      <c r="H95" s="1" t="s">
        <v>51</v>
      </c>
      <c r="I95" s="1">
        <v>39.0</v>
      </c>
      <c r="J95" s="1">
        <v>83287.0</v>
      </c>
      <c r="K95" s="1">
        <v>5650.0</v>
      </c>
      <c r="L95" s="1">
        <v>7500.0</v>
      </c>
      <c r="M95" s="4">
        <v>42018.1875</v>
      </c>
      <c r="N95" s="1">
        <v>7500.0</v>
      </c>
    </row>
    <row r="96">
      <c r="A96" s="1">
        <v>2005.0</v>
      </c>
      <c r="B96" s="1" t="s">
        <v>22</v>
      </c>
      <c r="C96" s="1" t="s">
        <v>107</v>
      </c>
      <c r="D96" s="1" t="s">
        <v>195</v>
      </c>
      <c r="E96" s="1" t="s">
        <v>85</v>
      </c>
      <c r="F96" s="1" t="s">
        <v>19</v>
      </c>
      <c r="G96" s="1" t="s">
        <v>296</v>
      </c>
      <c r="H96" s="1" t="s">
        <v>51</v>
      </c>
      <c r="I96" s="1">
        <v>25.0</v>
      </c>
      <c r="J96" s="1">
        <v>138790.0</v>
      </c>
      <c r="K96" s="1">
        <v>10650.0</v>
      </c>
      <c r="L96" s="1">
        <v>10250.0</v>
      </c>
      <c r="M96" s="4">
        <v>42018.1875</v>
      </c>
      <c r="N96" s="1">
        <v>10250.0</v>
      </c>
    </row>
    <row r="97">
      <c r="A97" s="1">
        <v>2005.0</v>
      </c>
      <c r="B97" s="1" t="s">
        <v>33</v>
      </c>
      <c r="C97" s="1" t="s">
        <v>297</v>
      </c>
      <c r="D97" s="1" t="s">
        <v>298</v>
      </c>
      <c r="E97" s="1" t="s">
        <v>45</v>
      </c>
      <c r="F97" s="1" t="s">
        <v>19</v>
      </c>
      <c r="G97" s="1" t="s">
        <v>299</v>
      </c>
      <c r="H97" s="1" t="s">
        <v>41</v>
      </c>
      <c r="I97" s="1">
        <v>2.0</v>
      </c>
      <c r="J97" s="1">
        <v>138928.0</v>
      </c>
      <c r="K97" s="1">
        <v>1825.0</v>
      </c>
      <c r="L97" s="1">
        <v>1900.0</v>
      </c>
      <c r="M97" s="4">
        <v>42018.041666666664</v>
      </c>
      <c r="N97" s="1">
        <v>1900.0</v>
      </c>
    </row>
    <row r="98">
      <c r="A98" s="1">
        <v>2005.0</v>
      </c>
      <c r="B98" s="1" t="s">
        <v>117</v>
      </c>
      <c r="C98" s="1" t="s">
        <v>252</v>
      </c>
      <c r="D98" s="1" t="s">
        <v>92</v>
      </c>
      <c r="E98" s="1" t="s">
        <v>25</v>
      </c>
      <c r="G98" s="1" t="s">
        <v>300</v>
      </c>
      <c r="H98" s="1" t="s">
        <v>41</v>
      </c>
      <c r="I98" s="1">
        <v>35.0</v>
      </c>
      <c r="J98" s="1">
        <v>59115.0</v>
      </c>
      <c r="K98" s="1">
        <v>7400.0</v>
      </c>
      <c r="L98" s="1">
        <v>9000.0</v>
      </c>
      <c r="M98" s="4">
        <v>42020.041666666664</v>
      </c>
      <c r="N98" s="1">
        <v>9000.0</v>
      </c>
    </row>
    <row r="99">
      <c r="A99" s="1">
        <v>2005.0</v>
      </c>
      <c r="B99" s="1" t="s">
        <v>128</v>
      </c>
      <c r="C99" s="1" t="s">
        <v>301</v>
      </c>
      <c r="D99" s="1" t="s">
        <v>302</v>
      </c>
      <c r="E99" s="1" t="s">
        <v>25</v>
      </c>
      <c r="F99" s="1" t="s">
        <v>19</v>
      </c>
      <c r="G99" s="1" t="s">
        <v>303</v>
      </c>
      <c r="H99" s="1" t="s">
        <v>27</v>
      </c>
      <c r="I99" s="1">
        <v>28.0</v>
      </c>
      <c r="J99" s="1">
        <v>161171.0</v>
      </c>
      <c r="K99" s="1">
        <v>4100.0</v>
      </c>
      <c r="L99" s="1">
        <v>3900.0</v>
      </c>
      <c r="M99" s="4">
        <v>42018.086805555555</v>
      </c>
      <c r="N99" s="1">
        <v>3900.0</v>
      </c>
    </row>
    <row r="100">
      <c r="A100" s="1">
        <v>2005.0</v>
      </c>
      <c r="B100" s="1" t="s">
        <v>304</v>
      </c>
      <c r="C100" s="1" t="s">
        <v>305</v>
      </c>
      <c r="D100" s="1" t="s">
        <v>306</v>
      </c>
      <c r="E100" s="1" t="s">
        <v>25</v>
      </c>
      <c r="F100" s="1" t="s">
        <v>19</v>
      </c>
      <c r="G100" s="1" t="s">
        <v>307</v>
      </c>
      <c r="H100" s="1" t="s">
        <v>21</v>
      </c>
      <c r="I100" s="1">
        <v>23.0</v>
      </c>
      <c r="J100" s="1">
        <v>100580.0</v>
      </c>
      <c r="K100" s="1">
        <v>3200.0</v>
      </c>
      <c r="L100" s="1">
        <v>2500.0</v>
      </c>
      <c r="M100" s="4">
        <v>42031.0625</v>
      </c>
      <c r="N100" s="1">
        <v>2500.0</v>
      </c>
    </row>
    <row r="101">
      <c r="A101" s="1">
        <v>2005.0</v>
      </c>
      <c r="B101" s="1" t="s">
        <v>52</v>
      </c>
      <c r="C101" s="1" t="s">
        <v>214</v>
      </c>
      <c r="D101" s="1" t="s">
        <v>308</v>
      </c>
      <c r="E101" s="1" t="s">
        <v>31</v>
      </c>
      <c r="F101" s="1" t="s">
        <v>19</v>
      </c>
      <c r="G101" s="1" t="s">
        <v>309</v>
      </c>
      <c r="H101" s="1" t="s">
        <v>114</v>
      </c>
      <c r="I101" s="1">
        <v>31.0</v>
      </c>
      <c r="J101" s="1">
        <v>148398.0</v>
      </c>
      <c r="K101" s="1">
        <v>3275.0</v>
      </c>
      <c r="L101" s="1">
        <v>4600.0</v>
      </c>
      <c r="M101" s="4">
        <v>42019.09375</v>
      </c>
      <c r="N101" s="1">
        <v>4600.0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24.88"/>
  </cols>
  <sheetData>
    <row r="1"/>
    <row r="2"/>
    <row r="3"/>
    <row r="4"/>
    <row r="5"/>
    <row r="6"/>
    <row r="7"/>
    <row r="8"/>
    <row r="41">
      <c r="A41" s="5" t="s">
        <v>312</v>
      </c>
    </row>
    <row r="42">
      <c r="A42" s="6" t="s">
        <v>313</v>
      </c>
      <c r="B42" s="7"/>
      <c r="C42" s="7"/>
      <c r="D42" s="7"/>
      <c r="E42" s="7"/>
      <c r="F42" s="7"/>
    </row>
    <row r="43">
      <c r="A43" s="6" t="s">
        <v>314</v>
      </c>
      <c r="B43" s="7"/>
      <c r="C43" s="7"/>
      <c r="D43" s="7"/>
      <c r="E43" s="7"/>
      <c r="F43" s="7"/>
    </row>
    <row r="44">
      <c r="A44" s="7"/>
      <c r="B44" s="7"/>
      <c r="C44" s="7"/>
      <c r="D44" s="7"/>
      <c r="E44" s="7"/>
      <c r="F44" s="7"/>
    </row>
    <row r="46">
      <c r="A46" s="8" t="s">
        <v>315</v>
      </c>
      <c r="B46" s="8"/>
    </row>
    <row r="48">
      <c r="A48" s="9" t="s">
        <v>316</v>
      </c>
      <c r="B48" s="9"/>
      <c r="C48" s="9"/>
      <c r="D48" s="9"/>
      <c r="E48" s="9"/>
    </row>
    <row r="49">
      <c r="A49" s="9"/>
      <c r="B49" s="9"/>
      <c r="C49" s="9"/>
      <c r="D49" s="9"/>
      <c r="E49" s="9"/>
    </row>
    <row r="50">
      <c r="A50" s="9" t="s">
        <v>317</v>
      </c>
      <c r="B50" s="9"/>
      <c r="C50" s="9"/>
      <c r="D50" s="9"/>
      <c r="E50" s="9"/>
    </row>
    <row r="51">
      <c r="A51" s="9"/>
      <c r="B51" s="9"/>
      <c r="C51" s="9"/>
      <c r="D51" s="9"/>
      <c r="E51" s="9"/>
    </row>
    <row r="52">
      <c r="A52" s="9" t="s">
        <v>318</v>
      </c>
      <c r="B52" s="9"/>
      <c r="C52" s="9"/>
      <c r="D52" s="9"/>
      <c r="E52" s="9"/>
    </row>
    <row r="53">
      <c r="A53" s="9"/>
      <c r="B53" s="9"/>
      <c r="C53" s="9"/>
      <c r="D53" s="9"/>
      <c r="E53" s="9"/>
    </row>
    <row r="54">
      <c r="A54" s="9" t="s">
        <v>319</v>
      </c>
      <c r="B54" s="9"/>
      <c r="C54" s="9"/>
      <c r="D54" s="9"/>
      <c r="E54" s="9"/>
    </row>
    <row r="55">
      <c r="A55" s="9"/>
      <c r="B55" s="9"/>
      <c r="C55" s="9"/>
      <c r="D55" s="9"/>
      <c r="E55" s="9"/>
    </row>
    <row r="56">
      <c r="A56" s="9" t="s">
        <v>320</v>
      </c>
      <c r="B56" s="9"/>
      <c r="C56" s="9"/>
      <c r="D56" s="9"/>
      <c r="E56" s="9"/>
    </row>
    <row r="57">
      <c r="A57" s="9"/>
      <c r="B57" s="9"/>
      <c r="C57" s="9"/>
      <c r="D57" s="9"/>
      <c r="E57" s="9"/>
    </row>
    <row r="58">
      <c r="A58" s="9"/>
      <c r="B58" s="9"/>
      <c r="C58" s="9"/>
      <c r="D58" s="9"/>
      <c r="E58" s="9"/>
    </row>
  </sheetData>
  <printOptions gridLines="1" horizontalCentered="1"/>
  <pageMargins bottom="0.75" footer="0.0" header="0.0" left="0.7" right="0.7" top="0.75"/>
  <pageSetup paperSize="9" cellComments="atEnd" orientation="portrait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0"/>
  </cols>
  <sheetData>
    <row r="1">
      <c r="A1" s="1" t="s">
        <v>321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67" width="16.25"/>
  </cols>
  <sheetData>
    <row r="1"/>
    <row r="2"/>
    <row r="3"/>
    <row r="4"/>
    <row r="5"/>
    <row r="6"/>
    <row r="7"/>
    <row r="8"/>
    <row r="9"/>
    <row r="10"/>
    <row r="11"/>
    <row r="12">
      <c r="B12" s="10"/>
    </row>
    <row r="13">
      <c r="B13" s="10"/>
    </row>
    <row r="14">
      <c r="B14" s="10"/>
    </row>
    <row r="15">
      <c r="B15" s="10"/>
    </row>
    <row r="16">
      <c r="B16" s="10"/>
    </row>
    <row r="17">
      <c r="B17" s="10"/>
    </row>
    <row r="18">
      <c r="B18" s="10"/>
    </row>
    <row r="19">
      <c r="B19" s="10"/>
    </row>
    <row r="20">
      <c r="B20" s="10"/>
    </row>
    <row r="21">
      <c r="B21" s="10"/>
    </row>
    <row r="35">
      <c r="I35" s="11"/>
    </row>
    <row r="54">
      <c r="K54" s="12"/>
    </row>
    <row r="66">
      <c r="D66" s="13"/>
    </row>
  </sheetData>
  <printOptions gridLines="1" horizontalCentered="1"/>
  <pageMargins bottom="0.75" footer="0.0" header="0.0" left="0.7" right="0.7" top="0.75"/>
  <pageSetup paperSize="9" cellComments="atEnd" orientation="portrait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13" width="22.5"/>
  </cols>
  <sheetData>
    <row r="1"/>
    <row r="2"/>
    <row r="3"/>
    <row r="4"/>
    <row r="5"/>
    <row r="6"/>
    <row r="7"/>
    <row r="8"/>
    <row r="9">
      <c r="B9" s="10"/>
      <c r="C9" s="14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5.13"/>
    <col customWidth="1" min="2" max="2" width="21.25"/>
    <col customWidth="1" min="3" max="58" width="26.75"/>
  </cols>
  <sheetData>
    <row r="1"/>
    <row r="2"/>
    <row r="3"/>
    <row r="4"/>
    <row r="5"/>
    <row r="6"/>
    <row r="7"/>
    <row r="8"/>
    <row r="9"/>
    <row r="10"/>
    <row r="11"/>
    <row r="12">
      <c r="B12" s="10"/>
    </row>
    <row r="13">
      <c r="B13" s="10"/>
    </row>
    <row r="14">
      <c r="B14" s="10"/>
    </row>
    <row r="15">
      <c r="B15" s="10"/>
    </row>
    <row r="16">
      <c r="B16" s="10"/>
      <c r="C16" s="15"/>
    </row>
    <row r="17">
      <c r="A17" s="16"/>
      <c r="B17" s="10"/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  <c r="G29" s="17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A41" s="18"/>
      <c r="B41" s="19"/>
    </row>
    <row r="42">
      <c r="A42" s="20" t="s">
        <v>325</v>
      </c>
      <c r="B42" s="19"/>
    </row>
    <row r="43">
      <c r="A43" s="20"/>
      <c r="B43" s="19"/>
    </row>
    <row r="44">
      <c r="A44" s="21" t="s">
        <v>326</v>
      </c>
      <c r="B44" s="22"/>
    </row>
    <row r="45">
      <c r="A45" s="21" t="s">
        <v>327</v>
      </c>
      <c r="B45" s="22"/>
    </row>
    <row r="46">
      <c r="A46" s="21" t="s">
        <v>328</v>
      </c>
      <c r="B46" s="22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